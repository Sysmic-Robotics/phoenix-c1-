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605" documentId="13_ncr:1_{F7354992-1F78-49E8-A4B3-E60DEAC47D86}" xr6:coauthVersionLast="47" xr6:coauthVersionMax="47" xr10:uidLastSave="{22D70B8D-870A-457A-BA75-C20FD29ADDE3}"/>
  <bookViews>
    <workbookView xWindow="-120" yWindow="-120" windowWidth="29040" windowHeight="15720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" i="1" l="1"/>
  <c r="Y19" i="1" s="1"/>
  <c r="Z19" i="1" s="1"/>
  <c r="V20" i="1"/>
  <c r="Y7" i="1"/>
  <c r="Z7" i="1" s="1"/>
  <c r="Y12" i="1"/>
  <c r="Z12" i="1" s="1"/>
  <c r="Y8" i="1"/>
  <c r="Z8" i="1" s="1"/>
  <c r="W17" i="1"/>
  <c r="W16" i="1"/>
  <c r="W10" i="1"/>
  <c r="W15" i="1"/>
  <c r="W14" i="1"/>
  <c r="W27" i="1"/>
  <c r="W20" i="1"/>
  <c r="W19" i="1"/>
  <c r="W28" i="1"/>
  <c r="W9" i="1"/>
  <c r="W6" i="1"/>
  <c r="W13" i="1"/>
  <c r="W25" i="1"/>
  <c r="W22" i="1"/>
  <c r="W23" i="1"/>
  <c r="W11" i="1"/>
  <c r="W26" i="1"/>
  <c r="W24" i="1"/>
  <c r="V24" i="1"/>
  <c r="Y24" i="1" s="1"/>
  <c r="Z24" i="1" s="1"/>
  <c r="V16" i="1"/>
  <c r="Y16" i="1" s="1"/>
  <c r="Z16" i="1" s="1"/>
  <c r="V15" i="1"/>
  <c r="Y15" i="1" s="1"/>
  <c r="Z15" i="1" s="1"/>
  <c r="V28" i="1"/>
  <c r="Y28" i="1" s="1"/>
  <c r="Z28" i="1" s="1"/>
  <c r="V26" i="1"/>
  <c r="Y26" i="1" s="1"/>
  <c r="Z26" i="1" s="1"/>
  <c r="V10" i="1"/>
  <c r="Y10" i="1" s="1"/>
  <c r="Z10" i="1" s="1"/>
  <c r="V11" i="1"/>
  <c r="Y11" i="1" s="1"/>
  <c r="Z11" i="1" s="1"/>
  <c r="V13" i="1"/>
  <c r="Y13" i="1" s="1"/>
  <c r="Z13" i="1" s="1"/>
  <c r="V18" i="1"/>
  <c r="Y18" i="1" s="1"/>
  <c r="Z18" i="1" s="1"/>
  <c r="V23" i="1"/>
  <c r="Y23" i="1" s="1"/>
  <c r="Z23" i="1" s="1"/>
  <c r="V22" i="1"/>
  <c r="Y22" i="1" s="1"/>
  <c r="Z22" i="1" s="1"/>
  <c r="V25" i="1"/>
  <c r="Y25" i="1" s="1"/>
  <c r="Z25" i="1" s="1"/>
  <c r="Y14" i="1"/>
  <c r="Z14" i="1" s="1"/>
  <c r="Y20" i="1"/>
  <c r="Z20" i="1" s="1"/>
  <c r="V27" i="1"/>
  <c r="Y27" i="1" s="1"/>
  <c r="Z27" i="1" s="1"/>
  <c r="Y17" i="1"/>
  <c r="Z17" i="1" s="1"/>
  <c r="V6" i="1"/>
  <c r="Y6" i="1" s="1"/>
  <c r="Z6" i="1" s="1"/>
  <c r="V9" i="1"/>
  <c r="Y9" i="1" s="1"/>
  <c r="Z9" i="1" s="1"/>
  <c r="Y21" i="1"/>
  <c r="Z21" i="1" s="1"/>
  <c r="Z3" i="1" l="1"/>
  <c r="Y3" i="1"/>
</calcChain>
</file>

<file path=xl/sharedStrings.xml><?xml version="1.0" encoding="utf-8"?>
<sst xmlns="http://schemas.openxmlformats.org/spreadsheetml/2006/main" count="327" uniqueCount="149">
  <si>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</si>
  <si>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</si>
  <si>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</si>
  <si>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</si>
  <si>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</si>
  <si>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</si>
  <si>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</si>
  <si>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</si>
  <si>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</si>
  <si>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</si>
  <si>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</si>
  <si>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</si>
  <si>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</si>
  <si>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</si>
  <si>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</si>
  <si>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</si>
  <si>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</si>
  <si>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</si>
  <si>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</si>
  <si>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</si>
  <si>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</si>
  <si>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</si>
  <si>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</si>
  <si>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</si>
  <si>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</si>
  <si>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</si>
  <si>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</si>
  <si>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</si>
  <si>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</si>
  <si>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</si>
  <si>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</si>
  <si>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</si>
  <si>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</si>
  <si>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</si>
  <si>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</si>
  <si>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</si>
  <si>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</si>
  <si>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</si>
  <si>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</si>
  <si>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</si>
  <si>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</si>
  <si>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</si>
  <si>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</si>
  <si>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</si>
  <si>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</si>
  <si>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</si>
  <si>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</si>
  <si>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</si>
  <si>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</si>
  <si>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</si>
  <si>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</si>
  <si>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</si>
  <si>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</si>
  <si>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</si>
  <si>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</si>
  <si>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</si>
  <si>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</si>
  <si>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</si>
  <si>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</si>
  <si>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</si>
  <si>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</si>
  <si>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</si>
  <si>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</si>
  <si>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</si>
  <si>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</si>
  <si>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</si>
  <si>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</si>
  <si>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</si>
  <si>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</si>
  <si>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</si>
  <si>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</si>
  <si>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</si>
  <si>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</si>
  <si>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</si>
  <si>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</si>
  <si>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</si>
  <si>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</si>
  <si>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</si>
  <si>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</si>
  <si>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</si>
  <si>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</si>
  <si>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</si>
  <si>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</si>
  <si>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</si>
  <si>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</si>
  <si>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</si>
  <si>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</si>
  <si>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</si>
  <si>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</si>
  <si>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</si>
  <si>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</si>
  <si>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</si>
  <si>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</si>
  <si>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</si>
  <si>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</si>
  <si>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</si>
  <si>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</si>
  <si>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</si>
  <si>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</si>
  <si>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</si>
  <si>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</si>
  <si>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</si>
  <si>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</si>
  <si>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</si>
  <si>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</si>
  <si>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</si>
  <si>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</si>
  <si>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</si>
  <si>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PCBlibrary</t>
  </si>
  <si>
    <t>FP Corregido</t>
  </si>
  <si>
    <t>SODFL1608X70N</t>
  </si>
  <si>
    <t>Sch  Corregido</t>
  </si>
  <si>
    <t>TSON8_2-3X1S_TOS-L</t>
  </si>
  <si>
    <t>XT60PWM</t>
  </si>
  <si>
    <t>CAPC2012X94N</t>
  </si>
  <si>
    <t>C0603</t>
  </si>
  <si>
    <t>CAPC0402X22N</t>
  </si>
  <si>
    <t>CAPC2012X140N</t>
  </si>
  <si>
    <t>NEW PCBLIbrary</t>
  </si>
  <si>
    <t>CAPC1608X80N</t>
  </si>
  <si>
    <t>CAPC1608X90N</t>
  </si>
  <si>
    <t>CAPC1005X70N</t>
  </si>
  <si>
    <t>INDPM104104X480N</t>
  </si>
  <si>
    <t>RES_CSSH0805_.002OHM_STP</t>
  </si>
  <si>
    <t>FP-AF0402-IPC_A</t>
  </si>
  <si>
    <t>RESC1608X55N</t>
  </si>
  <si>
    <t>LEDC1608X85N</t>
  </si>
  <si>
    <t>GRT033</t>
  </si>
  <si>
    <t>GRM033D70J224ME01D</t>
  </si>
  <si>
    <t>Tipo</t>
  </si>
  <si>
    <t>DIODO</t>
  </si>
  <si>
    <t>CHIP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</si>
  <si>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</si>
  <si>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</si>
  <si>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</si>
  <si>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</si>
  <si>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</si>
  <si>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</si>
  <si>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</si>
  <si>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X (so close)</t>
  </si>
  <si>
    <t>CAPC1608X10N</t>
  </si>
  <si>
    <t>CAPC0402X02L</t>
  </si>
  <si>
    <t>CAPC2012X14N</t>
  </si>
  <si>
    <t>CAPC1608X09N</t>
  </si>
  <si>
    <t>CAPC3216X19N</t>
  </si>
  <si>
    <t>CAPC1005X07N</t>
  </si>
  <si>
    <t>CAPC0603X03N</t>
  </si>
  <si>
    <t>CAPC0603X06N</t>
  </si>
  <si>
    <t>RESC1608X06N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</si>
</sst>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Z29" totalsRowCount="1">
  <autoFilter ref="N5:Z28" xr:uid="{B1B482A5-D867-462B-9A42-5E02AF1BC0EA}"/>
  <sortState xmlns:xlrd2="http://schemas.microsoft.com/office/spreadsheetml/2017/richdata2" ref="N6:Z28">
    <sortCondition ref="S5:S28"/>
  </sortState>
  <tableColumns count="13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2CEA38F0-0C3D-417B-A37F-12BD902EBA47}" name="PCBlibrary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Y2:Z3" totalsRowShown="0">
  <autoFilter ref="Y2:Z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Z29"/>
  <sheetViews>
    <sheetView tabSelected="1" topLeftCell="K2" zoomScale="115" zoomScaleNormal="115" workbookViewId="0">
      <selection activeCell="U25" sqref="U25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8" width="26.88671875" bestFit="1" customWidth="1"/>
    <col min="19" max="19" width="18.6640625" customWidth="1"/>
    <col min="20" max="20" width="15.21875" customWidth="1"/>
    <col min="21" max="21" width="12.5546875" customWidth="1"/>
    <col min="22" max="22" width="11.21875" bestFit="1" customWidth="1"/>
    <col min="23" max="23" width="8.88671875" customWidth="1"/>
    <col min="24" max="24" width="20.109375" customWidth="1"/>
    <col min="25" max="25" width="13.5546875" customWidth="1"/>
    <col min="26" max="26" width="14.6640625" customWidth="1"/>
  </cols>
  <sheetData>
    <row r="2" spans="1:26" x14ac:dyDescent="0.3">
      <c r="Y2" t="s">
        <v>39</v>
      </c>
      <c r="Z2" t="s">
        <v>44</v>
      </c>
    </row>
    <row r="3" spans="1:26" x14ac:dyDescent="0.3">
      <c r="A3" t="s">
        <v>0</v>
      </c>
      <c r="Y3" t="e">
        <f>SUM(Tabla2[CantX$(USD)])</f>
        <v>#VALUE!</v>
      </c>
      <c r="Z3" t="e">
        <f>ROUND(SUM(Tabla2[CantX$(CLP)]),0)</f>
        <v>#VALUE!</v>
      </c>
    </row>
    <row r="4" spans="1:26" x14ac:dyDescent="0.3">
      <c r="A4" t="s">
        <v>1</v>
      </c>
    </row>
    <row r="5" spans="1:26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129</v>
      </c>
      <c r="P5" t="s">
        <v>77</v>
      </c>
      <c r="Q5" t="s">
        <v>70</v>
      </c>
      <c r="R5" t="s">
        <v>108</v>
      </c>
      <c r="S5" t="s">
        <v>118</v>
      </c>
      <c r="T5" t="s">
        <v>111</v>
      </c>
      <c r="U5" t="s">
        <v>109</v>
      </c>
      <c r="V5" t="s">
        <v>37</v>
      </c>
      <c r="W5" t="s">
        <v>38</v>
      </c>
      <c r="X5" t="s">
        <v>41</v>
      </c>
      <c r="Y5" t="s">
        <v>42</v>
      </c>
      <c r="Z5" t="s">
        <v>43</v>
      </c>
    </row>
    <row r="6" spans="1:26" x14ac:dyDescent="0.3">
      <c r="A6" t="s">
        <v>4</v>
      </c>
      <c r="E6" t="s">
        <v>14</v>
      </c>
      <c r="F6">
        <v>1</v>
      </c>
      <c r="N6" t="s">
        <v>31</v>
      </c>
      <c r="O6" t="s">
        <v>133</v>
      </c>
      <c r="P6" t="s">
        <v>95</v>
      </c>
      <c r="Q6" t="s">
        <v>63</v>
      </c>
      <c r="R6" t="s">
        <v>116</v>
      </c>
      <c r="S6" t="s">
        <v>141</v>
      </c>
      <c r="T6" t="s">
        <v>63</v>
      </c>
      <c r="U6" t="s">
        <v>63</v>
      </c>
      <c r="V6">
        <f>SUM(Tabla1[[#This Row],[Power Input(MAX15062AATA+T )]:[AS5600 ASOM]])</f>
        <v>1</v>
      </c>
      <c r="W6" s="2" t="str">
        <f>HYPERLINK("https://mou.sr/4owREP0","Mouser")</f>
        <v>Mouser</v>
      </c>
      <c r="X6">
        <v>0.1</v>
      </c>
      <c r="Y6">
        <f>PRODUCT(Tabla2[[#This Row],[Cantidad]],Tabla2[[#This Row],[Precio unitario(USD)]])</f>
        <v>0.1</v>
      </c>
      <c r="Z6">
        <f>PRODUCT(Tabla2[[#This Row],[CantX$(USD)]],941.85)</f>
        <v>94.185000000000002</v>
      </c>
    </row>
    <row r="7" spans="1:26" x14ac:dyDescent="0.3">
      <c r="A7" t="s">
        <v>5</v>
      </c>
      <c r="E7" t="s">
        <v>15</v>
      </c>
      <c r="F7">
        <v>1</v>
      </c>
      <c r="N7" t="s">
        <v>102</v>
      </c>
      <c r="O7" t="s">
        <v>133</v>
      </c>
      <c r="P7" t="s">
        <v>101</v>
      </c>
      <c r="Q7" t="s">
        <v>63</v>
      </c>
      <c r="R7" t="s">
        <v>127</v>
      </c>
      <c r="S7" t="s">
        <v>146</v>
      </c>
      <c r="T7" t="s">
        <v>63</v>
      </c>
      <c r="U7" t="s">
        <v>63</v>
      </c>
      <c r="V7">
        <v>5</v>
      </c>
      <c r="W7" s="1" t="s">
        <v>105</v>
      </c>
      <c r="Y7">
        <f>PRODUCT(Tabla2[[#This Row],[Cantidad]],Tabla2[[#This Row],[Precio unitario(USD)]])</f>
        <v>5</v>
      </c>
      <c r="Z7">
        <f>PRODUCT(Tabla2[[#This Row],[CantX$(USD)]],941.85)</f>
        <v>4709.25</v>
      </c>
    </row>
    <row r="8" spans="1:26" x14ac:dyDescent="0.3">
      <c r="A8" t="s">
        <v>6</v>
      </c>
      <c r="E8" t="s">
        <v>16</v>
      </c>
      <c r="F8">
        <v>2</v>
      </c>
      <c r="G8">
        <v>2</v>
      </c>
      <c r="N8" t="s">
        <v>100</v>
      </c>
      <c r="O8" t="s">
        <v>133</v>
      </c>
      <c r="P8" t="s">
        <v>104</v>
      </c>
      <c r="Q8" t="s">
        <v>63</v>
      </c>
      <c r="R8" s="6" t="s">
        <v>128</v>
      </c>
      <c r="S8" t="s">
        <v>147</v>
      </c>
      <c r="T8" t="s">
        <v>63</v>
      </c>
      <c r="U8" t="s">
        <v>63</v>
      </c>
      <c r="V8">
        <v>1</v>
      </c>
      <c r="W8" s="1" t="s">
        <v>107</v>
      </c>
      <c r="Y8">
        <f>PRODUCT(Tabla2[[#This Row],[Cantidad]],Tabla2[[#This Row],[Precio unitario(USD)]])</f>
        <v>1</v>
      </c>
      <c r="Z8">
        <f>PRODUCT(Tabla2[[#This Row],[CantX$(USD)]],941.85)</f>
        <v>941.85</v>
      </c>
    </row>
    <row r="9" spans="1:26" x14ac:dyDescent="0.3">
      <c r="A9" t="s">
        <v>7</v>
      </c>
      <c r="E9" t="s">
        <v>35</v>
      </c>
      <c r="F9">
        <v>1</v>
      </c>
      <c r="N9" t="s">
        <v>32</v>
      </c>
      <c r="O9" t="s">
        <v>133</v>
      </c>
      <c r="P9" t="s">
        <v>96</v>
      </c>
      <c r="Q9" t="s">
        <v>63</v>
      </c>
      <c r="R9" t="s">
        <v>121</v>
      </c>
      <c r="S9" t="s">
        <v>145</v>
      </c>
      <c r="T9" t="s">
        <v>63</v>
      </c>
      <c r="U9" t="s">
        <v>63</v>
      </c>
      <c r="V9">
        <f>SUM(Tabla1[[#This Row],[Power Input(MAX15062AATA+T )]:[AS5600 ASOM]])</f>
        <v>1</v>
      </c>
      <c r="W9" s="2" t="str">
        <f>HYPERLINK("https://mou.sr/4qt9N1T","Mouser")</f>
        <v>Mouser</v>
      </c>
      <c r="X9">
        <v>0.1</v>
      </c>
      <c r="Y9">
        <f>PRODUCT(Tabla2[[#This Row],[Cantidad]],Tabla2[[#This Row],[Precio unitario(USD)]])</f>
        <v>0.1</v>
      </c>
      <c r="Z9">
        <f>PRODUCT(Tabla2[[#This Row],[CantX$(USD)]],941.85)</f>
        <v>94.185000000000002</v>
      </c>
    </row>
    <row r="10" spans="1:26" x14ac:dyDescent="0.3">
      <c r="A10" t="s">
        <v>8</v>
      </c>
      <c r="E10" t="s">
        <v>36</v>
      </c>
      <c r="F10">
        <v>1</v>
      </c>
      <c r="N10" t="s">
        <v>17</v>
      </c>
      <c r="O10" t="s">
        <v>133</v>
      </c>
      <c r="P10" t="s">
        <v>76</v>
      </c>
      <c r="Q10" t="s">
        <v>63</v>
      </c>
      <c r="R10" t="s">
        <v>119</v>
      </c>
      <c r="S10" t="s">
        <v>143</v>
      </c>
      <c r="T10" t="s">
        <v>63</v>
      </c>
      <c r="U10" t="s">
        <v>63</v>
      </c>
      <c r="V10">
        <f>SUM(Tabla1[[#This Row],[Power Input(MAX15062AATA+T )]:[AS5600 ASOM]])</f>
        <v>1</v>
      </c>
      <c r="W10" s="1" t="str">
        <f>HYPERLINK("https://mou.sr/43ubkLk","Mouser")</f>
        <v>Mouser</v>
      </c>
      <c r="X10">
        <v>0.24</v>
      </c>
      <c r="Y10">
        <f>PRODUCT(Tabla2[[#This Row],[Cantidad]],Tabla2[[#This Row],[Precio unitario(USD)]])</f>
        <v>0.24</v>
      </c>
      <c r="Z10">
        <f>PRODUCT(Tabla2[[#This Row],[CantX$(USD)]],941.85)</f>
        <v>226.04400000000001</v>
      </c>
    </row>
    <row r="11" spans="1:26" x14ac:dyDescent="0.3">
      <c r="E11" t="s">
        <v>17</v>
      </c>
      <c r="G11">
        <v>1</v>
      </c>
      <c r="N11" t="s">
        <v>18</v>
      </c>
      <c r="O11" t="s">
        <v>133</v>
      </c>
      <c r="P11" t="s">
        <v>56</v>
      </c>
      <c r="Q11" t="s">
        <v>63</v>
      </c>
      <c r="R11" t="s">
        <v>120</v>
      </c>
      <c r="S11" t="s">
        <v>143</v>
      </c>
      <c r="T11" t="s">
        <v>63</v>
      </c>
      <c r="U11" t="s">
        <v>63</v>
      </c>
      <c r="V11">
        <f>SUM(Tabla1[[#This Row],[Power Input(MAX15062AATA+T )]:[AS5600 ASOM]])</f>
        <v>1</v>
      </c>
      <c r="W11" s="1" t="str">
        <f>HYPERLINK("https://mou.sr/47GKd25","Mouser")</f>
        <v>Mouser</v>
      </c>
      <c r="X11">
        <v>0.16</v>
      </c>
      <c r="Y11">
        <f>PRODUCT(Tabla2[[#This Row],[Cantidad]],Tabla2[[#This Row],[Precio unitario(USD)]])</f>
        <v>0.16</v>
      </c>
      <c r="Z11">
        <f>PRODUCT(Tabla2[[#This Row],[CantX$(USD)]],941.85)</f>
        <v>150.696</v>
      </c>
    </row>
    <row r="12" spans="1:26" x14ac:dyDescent="0.3">
      <c r="E12" t="s">
        <v>18</v>
      </c>
      <c r="G12">
        <v>1</v>
      </c>
      <c r="H12">
        <v>3</v>
      </c>
      <c r="N12" t="s">
        <v>73</v>
      </c>
      <c r="O12" t="s">
        <v>133</v>
      </c>
      <c r="P12" t="s">
        <v>103</v>
      </c>
      <c r="Q12" t="s">
        <v>63</v>
      </c>
      <c r="R12" t="s">
        <v>120</v>
      </c>
      <c r="S12" t="s">
        <v>143</v>
      </c>
      <c r="T12" t="s">
        <v>63</v>
      </c>
      <c r="U12" t="s">
        <v>63</v>
      </c>
      <c r="V12">
        <v>1</v>
      </c>
      <c r="W12" s="1" t="s">
        <v>106</v>
      </c>
      <c r="Y12">
        <f>PRODUCT(Tabla2[[#This Row],[Cantidad]],Tabla2[[#This Row],[Precio unitario(USD)]])</f>
        <v>1</v>
      </c>
      <c r="Z12">
        <f>PRODUCT(Tabla2[[#This Row],[CantX$(USD)]],941.85)</f>
        <v>941.85</v>
      </c>
    </row>
    <row r="13" spans="1:26" x14ac:dyDescent="0.3">
      <c r="E13" t="s">
        <v>19</v>
      </c>
      <c r="G13">
        <v>1</v>
      </c>
      <c r="N13" t="s">
        <v>19</v>
      </c>
      <c r="O13" t="s">
        <v>133</v>
      </c>
      <c r="P13" t="s">
        <v>82</v>
      </c>
      <c r="Q13" t="s">
        <v>63</v>
      </c>
      <c r="R13" t="s">
        <v>115</v>
      </c>
      <c r="S13" t="s">
        <v>140</v>
      </c>
      <c r="T13" t="s">
        <v>63</v>
      </c>
      <c r="U13" t="s">
        <v>63</v>
      </c>
      <c r="V13">
        <f>SUM(Tabla1[[#This Row],[Power Input(MAX15062AATA+T )]:[AS5600 ASOM]])</f>
        <v>1</v>
      </c>
      <c r="W13" s="1" t="str">
        <f>HYPERLINK("https://mou.sr/47aSprm","Mouser")</f>
        <v>Mouser</v>
      </c>
      <c r="X13">
        <v>0.44</v>
      </c>
      <c r="Y13">
        <f>PRODUCT(Tabla2[[#This Row],[Cantidad]],Tabla2[[#This Row],[Precio unitario(USD)]])</f>
        <v>0.44</v>
      </c>
      <c r="Z13">
        <f>PRODUCT(Tabla2[[#This Row],[CantX$(USD)]],941.85)</f>
        <v>414.41399999999999</v>
      </c>
    </row>
    <row r="14" spans="1:26" x14ac:dyDescent="0.3">
      <c r="E14" t="s">
        <v>22</v>
      </c>
      <c r="G14">
        <v>2</v>
      </c>
      <c r="N14" t="s">
        <v>83</v>
      </c>
      <c r="O14" t="s">
        <v>133</v>
      </c>
      <c r="P14" t="s">
        <v>84</v>
      </c>
      <c r="Q14" t="s">
        <v>63</v>
      </c>
      <c r="R14" t="s">
        <v>114</v>
      </c>
      <c r="S14" t="s">
        <v>138</v>
      </c>
      <c r="T14" t="s">
        <v>63</v>
      </c>
      <c r="U14" t="s">
        <v>139</v>
      </c>
      <c r="V14">
        <v>3</v>
      </c>
      <c r="W14" s="1" t="str">
        <f>HYPERLINK("https://mou.sr/47cPcHL","Mouser")</f>
        <v>Mouser</v>
      </c>
      <c r="X14">
        <v>0.1</v>
      </c>
      <c r="Y14">
        <f>PRODUCT(Tabla2[[#This Row],[Cantidad]],Tabla2[[#This Row],[Precio unitario(USD)]])</f>
        <v>0.30000000000000004</v>
      </c>
      <c r="Z14">
        <f>PRODUCT(Tabla2[[#This Row],[CantX$(USD)]],941.85)</f>
        <v>282.55500000000006</v>
      </c>
    </row>
    <row r="15" spans="1:26" x14ac:dyDescent="0.3">
      <c r="E15" t="s">
        <v>20</v>
      </c>
      <c r="H15">
        <v>6</v>
      </c>
      <c r="N15" t="s">
        <v>74</v>
      </c>
      <c r="O15" t="s">
        <v>133</v>
      </c>
      <c r="P15" t="s">
        <v>72</v>
      </c>
      <c r="Q15" t="s">
        <v>63</v>
      </c>
      <c r="S15" t="s">
        <v>138</v>
      </c>
      <c r="T15" t="s">
        <v>63</v>
      </c>
      <c r="U15" t="s">
        <v>63</v>
      </c>
      <c r="V15">
        <f>SUM(Tabla1[[#This Row],[Power Input(MAX15062AATA+T )]:[AS5600 ASOM]])</f>
        <v>6</v>
      </c>
      <c r="W15" s="1" t="str">
        <f>HYPERLINK("https://mou.sr/3JzqjNg","Mouser")</f>
        <v>Mouser</v>
      </c>
      <c r="X15">
        <v>0.34</v>
      </c>
      <c r="Y15">
        <f>PRODUCT(Tabla2[[#This Row],[Cantidad]],Tabla2[[#This Row],[Precio unitario(USD)]])</f>
        <v>2.04</v>
      </c>
      <c r="Z15">
        <f>PRODUCT(Tabla2[[#This Row],[CantX$(USD)]],941.85)</f>
        <v>1921.374</v>
      </c>
    </row>
    <row r="16" spans="1:26" x14ac:dyDescent="0.3">
      <c r="E16" t="s">
        <v>21</v>
      </c>
      <c r="H16">
        <v>3</v>
      </c>
      <c r="N16" t="s">
        <v>15</v>
      </c>
      <c r="O16" t="s">
        <v>133</v>
      </c>
      <c r="P16" t="s">
        <v>75</v>
      </c>
      <c r="Q16" t="s">
        <v>63</v>
      </c>
      <c r="R16" t="s">
        <v>117</v>
      </c>
      <c r="S16" t="s">
        <v>142</v>
      </c>
      <c r="T16" t="s">
        <v>63</v>
      </c>
      <c r="U16" t="s">
        <v>63</v>
      </c>
      <c r="V16">
        <f>SUM(Tabla1[[#This Row],[Power Input(MAX15062AATA+T )]:[AS5600 ASOM]])</f>
        <v>3</v>
      </c>
      <c r="W16" s="1" t="str">
        <f>HYPERLINK("https://mou.sr/4oCNLrW","Mouser")</f>
        <v>Mouser</v>
      </c>
      <c r="X16">
        <v>0.42</v>
      </c>
      <c r="Y16">
        <f>PRODUCT(Tabla2[[#This Row],[Cantidad]],Tabla2[[#This Row],[Precio unitario(USD)]])</f>
        <v>1.26</v>
      </c>
      <c r="Z16">
        <f>PRODUCT(Tabla2[[#This Row],[CantX$(USD)]],941.85)</f>
        <v>1186.731</v>
      </c>
    </row>
    <row r="17" spans="5:26" x14ac:dyDescent="0.3">
      <c r="E17" t="s">
        <v>23</v>
      </c>
      <c r="H17">
        <v>3</v>
      </c>
      <c r="N17" t="s">
        <v>29</v>
      </c>
      <c r="O17" t="s">
        <v>133</v>
      </c>
      <c r="P17" t="s">
        <v>78</v>
      </c>
      <c r="Q17" t="s">
        <v>63</v>
      </c>
      <c r="R17" t="s">
        <v>78</v>
      </c>
      <c r="S17" t="s">
        <v>144</v>
      </c>
      <c r="T17" t="s">
        <v>63</v>
      </c>
      <c r="U17" t="s">
        <v>63</v>
      </c>
      <c r="V17">
        <v>12</v>
      </c>
      <c r="W17" s="1" t="str">
        <f>HYPERLINK("https://mou.sr/3WUpj9x","Mouser")</f>
        <v>Mouser</v>
      </c>
      <c r="X17">
        <v>0.8</v>
      </c>
      <c r="Y17">
        <f>PRODUCT(Tabla2[[#This Row],[Cantidad]],Tabla2[[#This Row],[Precio unitario(USD)]])</f>
        <v>9.6000000000000014</v>
      </c>
      <c r="Z17">
        <f>PRODUCT(Tabla2[[#This Row],[CantX$(USD)]],941.85)</f>
        <v>9041.760000000002</v>
      </c>
    </row>
    <row r="18" spans="5:26" x14ac:dyDescent="0.3">
      <c r="E18" t="s">
        <v>24</v>
      </c>
      <c r="I18">
        <v>3</v>
      </c>
      <c r="N18" t="s">
        <v>22</v>
      </c>
      <c r="O18" t="s">
        <v>134</v>
      </c>
      <c r="P18" t="s">
        <v>80</v>
      </c>
      <c r="Q18" t="s">
        <v>63</v>
      </c>
      <c r="R18" t="s">
        <v>124</v>
      </c>
      <c r="S18" t="s">
        <v>137</v>
      </c>
      <c r="T18" t="s">
        <v>63</v>
      </c>
      <c r="U18" t="s">
        <v>63</v>
      </c>
      <c r="V18">
        <f>SUM(Tabla1[[#This Row],[Power Input(MAX15062AATA+T )]:[AS5600 ASOM]])</f>
        <v>3</v>
      </c>
      <c r="W18" s="2" t="s">
        <v>81</v>
      </c>
      <c r="X18">
        <v>0.18</v>
      </c>
      <c r="Y18">
        <f>PRODUCT(Tabla2[[#This Row],[Cantidad]],Tabla2[[#This Row],[Precio unitario(USD)]])</f>
        <v>0.54</v>
      </c>
      <c r="Z18">
        <f>PRODUCT(Tabla2[[#This Row],[CantX$(USD)]],941.85)</f>
        <v>508.59900000000005</v>
      </c>
    </row>
    <row r="19" spans="5:26" x14ac:dyDescent="0.3">
      <c r="E19" t="s">
        <v>25</v>
      </c>
      <c r="I19">
        <v>3</v>
      </c>
      <c r="N19" t="s">
        <v>24</v>
      </c>
      <c r="O19" t="s">
        <v>134</v>
      </c>
      <c r="P19" t="s">
        <v>85</v>
      </c>
      <c r="Q19" t="s">
        <v>63</v>
      </c>
      <c r="R19" t="s">
        <v>125</v>
      </c>
      <c r="S19" t="s">
        <v>148</v>
      </c>
      <c r="T19" t="s">
        <v>63</v>
      </c>
      <c r="U19" t="s">
        <v>63</v>
      </c>
      <c r="V19">
        <f>SUM(Tabla1[[#This Row],[Power Input(MAX15062AATA+T )]:[AS5600 ASOM]])</f>
        <v>3</v>
      </c>
      <c r="W19" s="1" t="str">
        <f>HYPERLINK("https://mou.sr/47bBWDf","Mouser")</f>
        <v>Mouser</v>
      </c>
      <c r="X19">
        <v>0.15</v>
      </c>
      <c r="Y19">
        <f>PRODUCT(Tabla2[[#This Row],[Cantidad]],Tabla2[[#This Row],[Precio unitario(USD)]])</f>
        <v>0.44999999999999996</v>
      </c>
      <c r="Z19">
        <f>PRODUCT(Tabla2[[#This Row],[CantX$(USD)]],941.85)</f>
        <v>423.83249999999998</v>
      </c>
    </row>
    <row r="20" spans="5:26" x14ac:dyDescent="0.3">
      <c r="E20" t="s">
        <v>26</v>
      </c>
      <c r="J20">
        <v>2</v>
      </c>
      <c r="N20" t="s">
        <v>26</v>
      </c>
      <c r="O20" t="s">
        <v>134</v>
      </c>
      <c r="P20" t="s">
        <v>89</v>
      </c>
      <c r="Q20" t="s">
        <v>63</v>
      </c>
      <c r="R20" t="s">
        <v>125</v>
      </c>
      <c r="S20" t="s">
        <v>148</v>
      </c>
      <c r="T20" t="s">
        <v>63</v>
      </c>
      <c r="U20" t="s">
        <v>63</v>
      </c>
      <c r="V20">
        <f>SUM(Tabla1[[#This Row],[Power Input(MAX15062AATA+T )]:[AS5600 ASOM]])</f>
        <v>2</v>
      </c>
      <c r="W20" s="1" t="str">
        <f>HYPERLINK("https://mou.sr/48K3Qr8","Mouser")</f>
        <v>Mouser</v>
      </c>
      <c r="X20">
        <v>0.23</v>
      </c>
      <c r="Y20">
        <f>PRODUCT(Tabla2[[#This Row],[Cantidad]],Tabla2[[#This Row],[Precio unitario(USD)]])</f>
        <v>0.46</v>
      </c>
      <c r="Z20">
        <f>PRODUCT(Tabla2[[#This Row],[CantX$(USD)]],941.85)</f>
        <v>433.25100000000003</v>
      </c>
    </row>
    <row r="21" spans="5:26" x14ac:dyDescent="0.3">
      <c r="E21" t="s">
        <v>27</v>
      </c>
      <c r="J21">
        <v>2</v>
      </c>
      <c r="N21" t="s">
        <v>33</v>
      </c>
      <c r="O21" t="s">
        <v>134</v>
      </c>
      <c r="P21" s="4" t="s">
        <v>91</v>
      </c>
      <c r="Q21" t="s">
        <v>63</v>
      </c>
      <c r="R21" t="s">
        <v>125</v>
      </c>
      <c r="S21" t="s">
        <v>148</v>
      </c>
      <c r="T21" t="s">
        <v>63</v>
      </c>
      <c r="U21" t="s">
        <v>63</v>
      </c>
      <c r="V21">
        <v>1</v>
      </c>
      <c r="W21" s="1" t="s">
        <v>92</v>
      </c>
      <c r="X21">
        <v>0.32</v>
      </c>
      <c r="Y21">
        <f>PRODUCT(Tabla2[[#This Row],[Cantidad]],Tabla2[[#This Row],[Precio unitario(USD)]])</f>
        <v>0.32</v>
      </c>
      <c r="Z21">
        <f>PRODUCT(Tabla2[[#This Row],[CantX$(USD)]],941.85)</f>
        <v>301.392</v>
      </c>
    </row>
    <row r="22" spans="5:26" x14ac:dyDescent="0.3">
      <c r="E22" t="s">
        <v>29</v>
      </c>
      <c r="K22">
        <v>12</v>
      </c>
      <c r="N22" t="s">
        <v>21</v>
      </c>
      <c r="O22" t="s">
        <v>134</v>
      </c>
      <c r="P22" t="s">
        <v>55</v>
      </c>
      <c r="Q22" t="s">
        <v>63</v>
      </c>
      <c r="R22" t="s">
        <v>123</v>
      </c>
      <c r="S22" t="s">
        <v>136</v>
      </c>
      <c r="T22" t="s">
        <v>63</v>
      </c>
      <c r="U22" t="s">
        <v>63</v>
      </c>
      <c r="V22">
        <f>SUM(Tabla1[[#This Row],[Power Input(MAX15062AATA+T )]:[AS5600 ASOM]])</f>
        <v>12</v>
      </c>
      <c r="W22" s="1" t="str">
        <f>HYPERLINK("https://mou.sr/47oFwIR","Mouser")</f>
        <v>Mouser</v>
      </c>
      <c r="X22">
        <v>0.6</v>
      </c>
      <c r="Y22">
        <f>PRODUCT(Tabla2[[#This Row],[Cantidad]],Tabla2[[#This Row],[Precio unitario(USD)]])</f>
        <v>7.1999999999999993</v>
      </c>
      <c r="Z22">
        <f>PRODUCT(Tabla2[[#This Row],[CantX$(USD)]],941.85)</f>
        <v>6781.32</v>
      </c>
    </row>
    <row r="23" spans="5:26" x14ac:dyDescent="0.3">
      <c r="E23" t="s">
        <v>31</v>
      </c>
      <c r="L23">
        <v>1</v>
      </c>
      <c r="N23" t="s">
        <v>20</v>
      </c>
      <c r="O23" t="s">
        <v>131</v>
      </c>
      <c r="P23" t="s">
        <v>20</v>
      </c>
      <c r="Q23" t="s">
        <v>63</v>
      </c>
      <c r="R23" t="s">
        <v>112</v>
      </c>
      <c r="T23" t="s">
        <v>63</v>
      </c>
      <c r="U23" t="s">
        <v>63</v>
      </c>
      <c r="V23">
        <f>SUM(Tabla1[[#This Row],[Power Input(MAX15062AATA+T )]:[AS5600 ASOM]])</f>
        <v>1</v>
      </c>
      <c r="W23" s="1" t="str">
        <f>HYPERLINK("https://mou.sr/3Jxp5Cd","Mouser")</f>
        <v>Mouser</v>
      </c>
      <c r="X23">
        <v>1.1100000000000001</v>
      </c>
      <c r="Y23">
        <f>PRODUCT(Tabla2[[#This Row],[Cantidad]],Tabla2[[#This Row],[Precio unitario(USD)]])</f>
        <v>1.1100000000000001</v>
      </c>
      <c r="Z23">
        <f>PRODUCT(Tabla2[[#This Row],[CantX$(USD)]],941.85)</f>
        <v>1045.4535000000001</v>
      </c>
    </row>
    <row r="24" spans="5:26" x14ac:dyDescent="0.3">
      <c r="E24" t="s">
        <v>32</v>
      </c>
      <c r="F24">
        <v>1</v>
      </c>
      <c r="L24">
        <v>1</v>
      </c>
      <c r="N24" t="s">
        <v>14</v>
      </c>
      <c r="O24" t="s">
        <v>132</v>
      </c>
      <c r="P24" t="s">
        <v>14</v>
      </c>
      <c r="Q24" t="s">
        <v>63</v>
      </c>
      <c r="R24" t="s">
        <v>113</v>
      </c>
      <c r="T24" t="s">
        <v>63</v>
      </c>
      <c r="U24" t="s">
        <v>63</v>
      </c>
      <c r="V24">
        <f>SUM(Tabla1[[#This Row],[Power Input(MAX15062AATA+T )]:[AS5600 ASOM]])</f>
        <v>2</v>
      </c>
      <c r="W24" s="1" t="str">
        <f>HYPERLINK("https://octopart.com/es/xt60pw-m-amass-118051292","Octopart")</f>
        <v>Octopart</v>
      </c>
      <c r="X24">
        <v>0.9</v>
      </c>
      <c r="Y24">
        <f>PRODUCT(Tabla2[[#This Row],[Cantidad]],Tabla2[[#This Row],[Precio unitario(USD)]])</f>
        <v>1.8</v>
      </c>
      <c r="Z24">
        <f>PRODUCT(Tabla2[[#This Row],[CantX$(USD)]],942)</f>
        <v>1695.6000000000001</v>
      </c>
    </row>
    <row r="25" spans="5:26" x14ac:dyDescent="0.3">
      <c r="E25" t="s">
        <v>33</v>
      </c>
      <c r="L25">
        <v>2</v>
      </c>
      <c r="N25" t="s">
        <v>23</v>
      </c>
      <c r="O25" t="s">
        <v>130</v>
      </c>
      <c r="P25" t="s">
        <v>23</v>
      </c>
      <c r="Q25" t="s">
        <v>63</v>
      </c>
      <c r="R25" t="s">
        <v>110</v>
      </c>
      <c r="T25" t="s">
        <v>63</v>
      </c>
      <c r="V25">
        <f>SUM(Tabla1[[#This Row],[Power Input(MAX15062AATA+T )]:[AS5600 ASOM]])</f>
        <v>2</v>
      </c>
      <c r="W25" s="1" t="str">
        <f>HYPERLINK("https://mou.sr/42XoOiu","Mouser")</f>
        <v>Mouser</v>
      </c>
      <c r="X25">
        <v>0.34</v>
      </c>
      <c r="Y25">
        <f>PRODUCT(Tabla2[[#This Row],[Cantidad]],Tabla2[[#This Row],[Precio unitario(USD)]])</f>
        <v>0.68</v>
      </c>
      <c r="Z25">
        <f>PRODUCT(Tabla2[[#This Row],[CantX$(USD)]],941.85)</f>
        <v>640.45800000000008</v>
      </c>
    </row>
    <row r="26" spans="5:26" x14ac:dyDescent="0.3">
      <c r="N26" t="s">
        <v>36</v>
      </c>
      <c r="O26" t="s">
        <v>130</v>
      </c>
      <c r="P26" t="s">
        <v>97</v>
      </c>
      <c r="Q26" t="s">
        <v>63</v>
      </c>
      <c r="R26" t="s">
        <v>97</v>
      </c>
      <c r="T26" t="s">
        <v>63</v>
      </c>
      <c r="V26" t="e">
        <f>SUM(Tabla1[[#This Row],[Power Input(MAX15062AATA+T )]:[AS5600 ASOM]])</f>
        <v>#VALUE!</v>
      </c>
      <c r="W26" s="1" t="str">
        <f>HYPERLINK("https://mou.sr/3Wle1em","Mouser")</f>
        <v>Mouser</v>
      </c>
      <c r="X26">
        <v>0.34</v>
      </c>
      <c r="Y26" t="e">
        <f>PRODUCT(Tabla2[[#This Row],[Cantidad]],Tabla2[[#This Row],[Precio unitario(USD)]])</f>
        <v>#VALUE!</v>
      </c>
      <c r="Z26" t="e">
        <f>PRODUCT(Tabla2[[#This Row],[CantX$(USD)]],941.85)</f>
        <v>#VALUE!</v>
      </c>
    </row>
    <row r="27" spans="5:26" x14ac:dyDescent="0.3">
      <c r="N27" t="s">
        <v>40</v>
      </c>
      <c r="O27" t="s">
        <v>130</v>
      </c>
      <c r="P27" t="s">
        <v>90</v>
      </c>
      <c r="Q27" t="s">
        <v>63</v>
      </c>
      <c r="R27" t="s">
        <v>126</v>
      </c>
      <c r="T27" t="s">
        <v>63</v>
      </c>
      <c r="V27" t="e">
        <f>SUM(Tabla1[[#This Row],[Power Input(MAX15062AATA+T )]:[AS5600 ASOM]])</f>
        <v>#VALUE!</v>
      </c>
      <c r="W27" s="1" t="str">
        <f>HYPERLINK("https://mou.sr/47slRYu","Mouser")</f>
        <v>Mouser</v>
      </c>
      <c r="X27">
        <v>0.41</v>
      </c>
      <c r="Y27" t="e">
        <f>PRODUCT(Tabla2[[#This Row],[Cantidad]],Tabla2[[#This Row],[Precio unitario(USD)]])</f>
        <v>#VALUE!</v>
      </c>
      <c r="Z27" t="e">
        <f>PRODUCT(Tabla2[[#This Row],[CantX$(USD)]],941.85)</f>
        <v>#VALUE!</v>
      </c>
    </row>
    <row r="28" spans="5:26" x14ac:dyDescent="0.3">
      <c r="N28" t="s">
        <v>94</v>
      </c>
      <c r="O28" t="s">
        <v>135</v>
      </c>
      <c r="P28" t="s">
        <v>93</v>
      </c>
      <c r="Q28" t="s">
        <v>63</v>
      </c>
      <c r="R28" t="s">
        <v>122</v>
      </c>
      <c r="T28" t="s">
        <v>63</v>
      </c>
      <c r="V28" t="e">
        <f>SUM(Tabla1[[#This Row],[Power Input(MAX15062AATA+T )]:[AS5600 ASOM]])</f>
        <v>#VALUE!</v>
      </c>
      <c r="W28" s="1" t="str">
        <f>HYPERLINK("https://mou.sr/4qpAEMl","Mouser")</f>
        <v>Mouser</v>
      </c>
      <c r="X28" s="4">
        <v>1.59</v>
      </c>
      <c r="Y28" t="e">
        <f>PRODUCT(Tabla2[[#This Row],[Cantidad]],Tabla2[[#This Row],[Precio unitario(USD)]])</f>
        <v>#VALUE!</v>
      </c>
      <c r="Z28" t="e">
        <f>PRODUCT(Tabla2[[#This Row],[CantX$(USD)]],941.85)</f>
        <v>#VALUE!</v>
      </c>
    </row>
    <row r="29" spans="5:26" x14ac:dyDescent="0.3">
      <c r="V29" s="6"/>
      <c r="Z29" s="3"/>
    </row>
  </sheetData>
  <hyperlinks>
    <hyperlink ref="W18" r:id="rId1" xr:uid="{155DAB3D-C7B6-4D36-AC1F-62B6A9BEF3AD}"/>
    <hyperlink ref="W7" r:id="rId2" xr:uid="{B765BA37-3C00-40F5-AEDD-838B98A4DF8E}"/>
    <hyperlink ref="W12" r:id="rId3" xr:uid="{B0DD47A4-DB96-49FA-9651-714D11187895}"/>
    <hyperlink ref="W8" r:id="rId4" xr:uid="{23FAA789-D6A4-48F6-B5EA-A3B0AFCD0314}"/>
    <hyperlink ref="W21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2025-11-05T13:58:47Z</dcterms:modified>
</cp:coreProperties>
</file>