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659" documentId="13_ncr:1_{F7354992-1F78-49E8-A4B3-E60DEAC47D86}" xr6:coauthVersionLast="47" xr6:coauthVersionMax="47" xr10:uidLastSave="{081B037D-FB27-4047-9E67-8C63781A3AEB}"/>
  <bookViews>
    <workbookView xWindow="-120" yWindow="-120" windowWidth="29040" windowHeight="15720" activeTab="1" xr2:uid="{8698A76B-EBE4-42D6-9BF9-8613B12501BD}"/>
  </bookViews>
  <sheets>
    <sheet name="Revision Componentes" sheetId="1" r:id="rId1"/>
    <sheet name="Hoja1" sheetId="3" r:id="rId2"/>
    <sheet name="C.phoenix-c1 por modul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4" i="1" l="1"/>
  <c r="X24" i="1" s="1"/>
  <c r="Y24" i="1" s="1"/>
  <c r="U25" i="1"/>
  <c r="X22" i="1"/>
  <c r="Y22" i="1" s="1"/>
  <c r="X21" i="1"/>
  <c r="Y21" i="1" s="1"/>
  <c r="X19" i="1"/>
  <c r="Y19" i="1" s="1"/>
  <c r="V17" i="1"/>
  <c r="V16" i="1"/>
  <c r="V13" i="1"/>
  <c r="V7" i="1"/>
  <c r="V6" i="1"/>
  <c r="V9" i="1"/>
  <c r="V25" i="1"/>
  <c r="V24" i="1"/>
  <c r="V10" i="1"/>
  <c r="V20" i="1"/>
  <c r="V18" i="1"/>
  <c r="V12" i="1"/>
  <c r="V11" i="1"/>
  <c r="V14" i="1"/>
  <c r="V27" i="1"/>
  <c r="V15" i="1"/>
  <c r="V26" i="1"/>
  <c r="V28" i="1"/>
  <c r="U28" i="1"/>
  <c r="X28" i="1" s="1"/>
  <c r="Y28" i="1" s="1"/>
  <c r="U16" i="1"/>
  <c r="X16" i="1" s="1"/>
  <c r="Y16" i="1" s="1"/>
  <c r="U7" i="1"/>
  <c r="X7" i="1" s="1"/>
  <c r="Y7" i="1" s="1"/>
  <c r="U10" i="1"/>
  <c r="X10" i="1" s="1"/>
  <c r="Y10" i="1" s="1"/>
  <c r="U26" i="1"/>
  <c r="X26" i="1" s="1"/>
  <c r="Y26" i="1" s="1"/>
  <c r="U13" i="1"/>
  <c r="X13" i="1" s="1"/>
  <c r="Y13" i="1" s="1"/>
  <c r="U15" i="1"/>
  <c r="X15" i="1" s="1"/>
  <c r="Y15" i="1" s="1"/>
  <c r="U12" i="1"/>
  <c r="X12" i="1" s="1"/>
  <c r="Y12" i="1" s="1"/>
  <c r="U8" i="1"/>
  <c r="X8" i="1" s="1"/>
  <c r="Y8" i="1" s="1"/>
  <c r="U27" i="1"/>
  <c r="X27" i="1" s="1"/>
  <c r="Y27" i="1" s="1"/>
  <c r="U14" i="1"/>
  <c r="X14" i="1" s="1"/>
  <c r="Y14" i="1" s="1"/>
  <c r="U11" i="1"/>
  <c r="X11" i="1" s="1"/>
  <c r="Y11" i="1" s="1"/>
  <c r="X6" i="1"/>
  <c r="Y6" i="1" s="1"/>
  <c r="X25" i="1"/>
  <c r="Y25" i="1" s="1"/>
  <c r="U9" i="1"/>
  <c r="X9" i="1" s="1"/>
  <c r="Y9" i="1" s="1"/>
  <c r="X17" i="1"/>
  <c r="Y17" i="1" s="1"/>
  <c r="U18" i="1"/>
  <c r="X18" i="1" s="1"/>
  <c r="Y18" i="1" s="1"/>
  <c r="U20" i="1"/>
  <c r="X20" i="1" s="1"/>
  <c r="Y20" i="1" s="1"/>
  <c r="X23" i="1"/>
  <c r="Y23" i="1" s="1"/>
  <c r="Y3" i="1" l="1"/>
  <c r="X3" i="1"/>
</calcChain>
</file>

<file path=xl/sharedStrings.xml><?xml version="1.0" encoding="utf-8"?>
<sst xmlns="http://schemas.openxmlformats.org/spreadsheetml/2006/main" count="482" uniqueCount="238">
  <si>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</si>
  <si>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</si>
  <si>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</si>
  <si>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</si>
  <si>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</si>
  <si>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</si>
  <si>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</si>
  <si>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</si>
  <si>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</si>
  <si>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</si>
  <si>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</si>
  <si>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</si>
  <si>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</si>
  <si>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</si>
  <si>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</si>
  <si>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</si>
  <si>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</si>
  <si>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</si>
  <si>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</si>
  <si>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</si>
  <si>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</si>
  <si>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</si>
  <si>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</si>
  <si>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</si>
  <si>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</si>
  <si>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</si>
  <si>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</si>
  <si>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</si>
  <si>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</si>
  <si>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</si>
  <si>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</si>
  <si>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</si>
  <si>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</si>
  <si>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</si>
  <si>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</si>
  <si>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</si>
  <si>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</si>
  <si>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</si>
  <si>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</si>
  <si>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</si>
  <si>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</si>
  <si>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</si>
  <si>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</si>
  <si>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</si>
  <si>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</si>
  <si>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</si>
  <si>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</si>
  <si>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</si>
  <si>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</si>
  <si>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</si>
  <si>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</si>
  <si>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</si>
  <si>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</si>
  <si>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</si>
  <si>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</si>
  <si>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</si>
  <si>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</si>
  <si>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</si>
  <si>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</si>
  <si>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</si>
  <si>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</si>
  <si>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</si>
  <si>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</si>
  <si>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</si>
  <si>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</si>
  <si>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</si>
  <si>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</si>
  <si>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</si>
  <si>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</si>
  <si>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</si>
  <si>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</si>
  <si>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</si>
  <si>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</si>
  <si>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</si>
  <si>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</si>
  <si>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</si>
  <si>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</si>
  <si>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</si>
  <si>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</si>
  <si>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</si>
  <si>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</si>
  <si>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</si>
  <si>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</si>
  <si>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</si>
  <si>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</si>
  <si>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</si>
  <si>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</si>
  <si>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</si>
  <si>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</si>
  <si>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</si>
  <si>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APT1608SURC</t>
  </si>
  <si>
    <t>RC0603FR-104K7L</t>
  </si>
  <si>
    <t>https://www.mouser.cl/ProductDetail/YAGEO/RC0603FR-104K7L?qs=sGAEpiMZZMtlubZbdhIBIHvQf5egq9lv0mk7h5hs6B0%3D</t>
  </si>
  <si>
    <t>B82464P4333M000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</si>
  <si>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</si>
  <si>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</si>
  <si>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</si>
  <si>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</si>
  <si>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</si>
  <si>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</si>
  <si>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</si>
  <si>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</si>
  <si>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</si>
  <si>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</si>
  <si>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</si>
  <si>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</si>
  <si>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</si>
  <si>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</si>
  <si>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FP Corregido</t>
  </si>
  <si>
    <t>SODFL1608X70N</t>
  </si>
  <si>
    <t>Sch  Corregido</t>
  </si>
  <si>
    <t>NEW PCBLIbrary</t>
  </si>
  <si>
    <t>INDPM104104X480N</t>
  </si>
  <si>
    <t>LEDC1608X85N</t>
  </si>
  <si>
    <t>Tipo</t>
  </si>
  <si>
    <t>DIODO</t>
  </si>
  <si>
    <t>CHIP</t>
  </si>
  <si>
    <t>CONNECTOR</t>
  </si>
  <si>
    <t>CAPACITOR</t>
  </si>
  <si>
    <t>RESISTOR</t>
  </si>
  <si>
    <t>INDUCTOR</t>
  </si>
  <si>
    <t>RESC2013X06N</t>
  </si>
  <si>
    <t>RESC1005X04N</t>
  </si>
  <si>
    <t>CAPC2012X05N</t>
  </si>
  <si>
    <t>CAPC1608X10N</t>
  </si>
  <si>
    <t>CAPC0402X02L</t>
  </si>
  <si>
    <t>CAPC2012X14N</t>
  </si>
  <si>
    <t>CAPC1608X09N</t>
  </si>
  <si>
    <t>CAPC3216X19N</t>
  </si>
  <si>
    <t>CAPC1005X07N</t>
  </si>
  <si>
    <t>CAPC0603X03N</t>
  </si>
  <si>
    <t>CAPC0603X06N</t>
  </si>
  <si>
    <t>RESC1608X06N</t>
  </si>
  <si>
    <t>CONN_XT60PWM</t>
  </si>
  <si>
    <t>XT60PW-M</t>
  </si>
  <si>
    <t>DIOM4336X24N</t>
  </si>
  <si>
    <t>Part Number (Design Item ID)</t>
  </si>
  <si>
    <t>Descripción corta</t>
  </si>
  <si>
    <r>
      <t>Nombre de librería sugerido (</t>
    </r>
    <r>
      <rPr>
        <b/>
        <sz val="10"/>
        <color theme="1"/>
        <rFont val="Arial Unicode MS"/>
        <family val="2"/>
      </rPr>
      <t>.SchLib</t>
    </r>
    <r>
      <rPr>
        <b/>
        <sz val="11"/>
        <color theme="1"/>
        <rFont val="Aptos Narrow"/>
        <family val="2"/>
        <scheme val="minor"/>
      </rPr>
      <t>)</t>
    </r>
  </si>
  <si>
    <t>Diodo TVS</t>
  </si>
  <si>
    <t>Diodo TVS 48V unidireccional DO-214AA</t>
  </si>
  <si>
    <t>TVS_48V_DO214AA - SMBJ48D-M3/1</t>
  </si>
  <si>
    <t>STM32G431CBU6</t>
  </si>
  <si>
    <t>Microcontrolador</t>
  </si>
  <si>
    <t>STM32G431C8T6 UFQFPN48 32bit MCU</t>
  </si>
  <si>
    <t>MCU_STM32G431_UFQFPN48 - STM32G431CBU6</t>
  </si>
  <si>
    <t>MAX15062AATA+T</t>
  </si>
  <si>
    <t>Convertidor DC-DC</t>
  </si>
  <si>
    <t>Step-Down 600mA Síncrono</t>
  </si>
  <si>
    <t>DC-DC_MAX15062_ATA - MAX15062AATA+T</t>
  </si>
  <si>
    <t>Conector</t>
  </si>
  <si>
    <t>Conector XT60 macho</t>
  </si>
  <si>
    <t>Conn_XT60PW-M - XT60PW-M</t>
  </si>
  <si>
    <t>RT0603BRD07650RL</t>
  </si>
  <si>
    <t>Resistencia</t>
  </si>
  <si>
    <t>0603, 1%, 650Ω</t>
  </si>
  <si>
    <t>Res_650_0603 - RT0603BRD07650RL</t>
  </si>
  <si>
    <t>RC0603BR-104K7L</t>
  </si>
  <si>
    <t>0603, 5%, 100kΩ</t>
  </si>
  <si>
    <t>Res_100K_0603 - RC0603BR-104K7L</t>
  </si>
  <si>
    <t>Resistencia shunt</t>
  </si>
  <si>
    <t>0805, 2mΩ, 1%</t>
  </si>
  <si>
    <t>Res_Shunt_2m_0805 - CSSH0805FT2L00</t>
  </si>
  <si>
    <t>TSON 30V 3.8A</t>
  </si>
  <si>
    <t>MOSFET_TSON_30V_3A - TPN19008QM_LQ</t>
  </si>
  <si>
    <t>0603X473K1RACTU</t>
  </si>
  <si>
    <t>Capacitor</t>
  </si>
  <si>
    <t>0603 0.047uF 100V</t>
  </si>
  <si>
    <t>Cap_100V_0u047_0603 - 0603X473K1RACTU</t>
  </si>
  <si>
    <t>0805GC102JAT2A</t>
  </si>
  <si>
    <t>0805 1nF 100V</t>
  </si>
  <si>
    <t>Cap_100V_1n_0805 - 0805GC102JAT2A</t>
  </si>
  <si>
    <t>0805GC105MAT2A</t>
  </si>
  <si>
    <t>0805 1uF 6.3V</t>
  </si>
  <si>
    <t>Cap_6V3_1u_0805 - 0805GC105MAT2A</t>
  </si>
  <si>
    <t>Diodo Schottky</t>
  </si>
  <si>
    <t>200 mA 1 V SOD-523</t>
  </si>
  <si>
    <t>D_Schottky_200mA_1V_SOD523 - BAT41KFILM</t>
  </si>
  <si>
    <t>MB6K1600BR3M</t>
  </si>
  <si>
    <t>Puente rectificador</t>
  </si>
  <si>
    <t>3.3uH 20% 1MHz Metal 0603</t>
  </si>
  <si>
    <t>Ind_3u3_0603 - MB6K1600BR3M</t>
  </si>
  <si>
    <t>AS5600-ASOM</t>
  </si>
  <si>
    <t>Sensor</t>
  </si>
  <si>
    <t>Sensor magnético de posición</t>
  </si>
  <si>
    <t>Sensor_AS5600 - AS5600-ASOM</t>
  </si>
  <si>
    <t>Conn_01x01</t>
  </si>
  <si>
    <t>Header 1x1</t>
  </si>
  <si>
    <t>Conn_1x1 - Conn_01x01</t>
  </si>
  <si>
    <t>LPS4018-333MR</t>
  </si>
  <si>
    <t>Inductor</t>
  </si>
  <si>
    <t>33uH, 20% Ferrita, 1515</t>
  </si>
  <si>
    <t>Ind_33uH_1515 - LPS4018-333MR</t>
  </si>
  <si>
    <t>DRV8323RSRTR</t>
  </si>
  <si>
    <t>Driver 60V Trifásico 40-WQFN</t>
  </si>
  <si>
    <t>Driver_3PH_DRV8323_WQFN - DRV8323RSRTR</t>
  </si>
  <si>
    <t>CMP-17439-000151-1</t>
  </si>
  <si>
    <t>Header 5x5 1.5MM</t>
  </si>
  <si>
    <t>Conn_Header_5x5_1.5MM - CMP-17439-000151-1</t>
  </si>
  <si>
    <t>GRJ31CC7ZAA475KE01K</t>
  </si>
  <si>
    <t>4.7uF, 100V, 1206</t>
  </si>
  <si>
    <t>Cap_100V_4u7_1206 - GRJ31CC7ZAA475KE01K</t>
  </si>
  <si>
    <t>0.1uF, 6.3V, 0201</t>
  </si>
  <si>
    <t>Cap_6V3_0u1_0201 - GRT033R60J104KE01J</t>
  </si>
  <si>
    <t>1uF, 6.3V, 0805</t>
  </si>
  <si>
    <t>Cap_6V3_1u_0805 - GCM21BC72A105KE36L</t>
  </si>
  <si>
    <t>10uF, 6.3V, 0402</t>
  </si>
  <si>
    <t>Cap_6V3_10u_0402 - GRM155R60J106ME05D</t>
  </si>
  <si>
    <t>GRM033R60J474ME15D</t>
  </si>
  <si>
    <t>0.47uF, 6.3V, 0201</t>
  </si>
  <si>
    <t>Cap_6V3_0u47_0201 - GRM033R60J474ME15D</t>
  </si>
  <si>
    <t>1uF, 6.3V, 0603</t>
  </si>
  <si>
    <t>Cap_6V3_1u_0603 - GRM188R60J105KA01D</t>
  </si>
  <si>
    <t>0.1uF, 100V, 0603</t>
  </si>
  <si>
    <t>Cap_100V_0u1_0603 - GCJ188R72A104KA01D</t>
  </si>
  <si>
    <t>0.1uF, 6.3V, 01005</t>
  </si>
  <si>
    <t>Cap_6V3_0u1_01005 - GRM022R60J104ME15L</t>
  </si>
  <si>
    <t>APT1608SURCK</t>
  </si>
  <si>
    <t>LED rojo 0603</t>
  </si>
  <si>
    <t>LED_Red_0603 - APT1608SURCK</t>
  </si>
  <si>
    <t>AF024JR-0722KL</t>
  </si>
  <si>
    <t>22kΩ, 1%, 0603</t>
  </si>
  <si>
    <t>Res_22K_0603 - AF024JR-0722KL</t>
  </si>
  <si>
    <t>22Ω, 5%, 0603</t>
  </si>
  <si>
    <t>Res_22_0603 - RC0603JR-0722RL</t>
  </si>
  <si>
    <t>XT30 macho</t>
  </si>
  <si>
    <t>Conn_XT30PW-M - XT30PW-M</t>
  </si>
  <si>
    <t>1uF, 25V, X7R, 0603</t>
  </si>
  <si>
    <t>Cap_25V_1u_0603 - C1608X7R1E105K080AE</t>
  </si>
  <si>
    <t>Arduino_PINS</t>
  </si>
  <si>
    <t>Header simbólico</t>
  </si>
  <si>
    <t>Pines para Arduino</t>
  </si>
  <si>
    <t>Conn_Arduino_Header - Arduino_PINS</t>
  </si>
  <si>
    <t>TH_UART</t>
  </si>
  <si>
    <t>Header para UART</t>
  </si>
  <si>
    <t>Conn_UART_Header - TH_UART</t>
  </si>
  <si>
    <t>Modificado</t>
  </si>
  <si>
    <t>Grilla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</si>
</sst>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  <font>
      <b/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</cellXfs>
  <cellStyles count="2">
    <cellStyle name="Hipervínculo" xfId="1" builtinId="8"/>
    <cellStyle name="Normal" xfId="0" builtinId="0"/>
  </cellStyles>
  <dxfs count="6"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Y29" totalsRowCount="1">
  <autoFilter ref="N5:Y28" xr:uid="{B1B482A5-D867-462B-9A42-5E02AF1BC0EA}"/>
  <sortState xmlns:xlrd2="http://schemas.microsoft.com/office/spreadsheetml/2017/richdata2" ref="N6:Y28">
    <sortCondition ref="P5:P28"/>
  </sortState>
  <tableColumns count="12">
    <tableColumn id="1" xr3:uid="{2A8164C2-2FB7-4C23-97F1-2EB7091D5D63}" name="COMPONENTES"/>
    <tableColumn id="7" xr3:uid="{1B66CD5D-E06C-4FE7-9C8A-156F9A991661}" name="Tipo"/>
    <tableColumn id="9" xr3:uid="{916D2FE0-85EB-46DA-9799-D85CA8D5156F}" name="Part Number"/>
    <tableColumn id="8" xr3:uid="{B1046C3A-A1F3-421E-9436-C5BB3C6B237A}" name="Altium"/>
    <tableColumn id="13" xr3:uid="{2B03112D-768E-4B24-BA12-EF1CD9491DBB}" name="NEW PCBLIbrary"/>
    <tableColumn id="12" xr3:uid="{66492975-40D9-428C-86A9-603CEEEB080E}" name="Sch  Corregido"/>
    <tableColumn id="11" xr3:uid="{F6CD5E74-C2A7-497A-977E-F83F137C4127}" name="FP Corregido"/>
    <tableColumn id="2" xr3:uid="{E0C099EA-6525-4D7A-8A81-ABCE7DC1E501}" name="Cantidad" dataDxfId="5" totalsRowDxfId="4">
      <calculatedColumnFormula>SUM(Tabla1[[#This Row],[Power Input(MAX15062AATA+T )]:[AS5600 ASOM]])</calculatedColumnFormula>
    </tableColumn>
    <tableColumn id="3" xr3:uid="{F8E4DDA3-B94B-4AA6-A9F3-1C390E031E27}" name="Link" dataDxfId="3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2">
      <calculatedColumnFormula>PRODUCT(Tabla2[[#This Row],[Cantidad]],Tabla2[[#This Row],[Precio unitario(USD)]])</calculatedColumnFormula>
    </tableColumn>
    <tableColumn id="6" xr3:uid="{81E0CD81-31E1-4B12-A1CA-8459D81315C8}" name="CantX$(CLP)" dataDxfId="1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X2:Y3" totalsRowShown="0">
  <autoFilter ref="X2:Y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www.mouser.cl/ProductDetail/Murata-Electronics/GRM188R60J105KA01D?qs=dddcrN876Gomyq%2FPjh7oaA%3D%3D&amp;srsltid=AfmBOoo3DNiuM7aq0lB6KzkD8q2hbIrqvJvOPE08Ax-0afc0q3WD7aso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mouser.cl/ProductDetail/Murata-Electronics/GRT033R60J104KE01J?qs=sGAEpiMZZMukHu%252BjC5l7YV930%2Fyx0fDoI9r4dHYiKoY%3D" TargetMode="External"/><Relationship Id="rId1" Type="http://schemas.openxmlformats.org/officeDocument/2006/relationships/hyperlink" Target="https://www.mouser.cl/ProductDetail/YAGEO/AF0402JR-072KL?qs=sGAEpiMZZMtlubZbdhIBIIzXXd8RXMQ1A4VeykjrMVQ%3D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mouser.cl/ProductDetail/YAGEO/RC0603FR-104K7L?qs=sGAEpiMZZMtlubZbdhIBIHvQf5egq9lv0mk7h5hs6B0%3D" TargetMode="External"/><Relationship Id="rId4" Type="http://schemas.openxmlformats.org/officeDocument/2006/relationships/hyperlink" Target="https://www.mouser.cl/ProductDetail/Murata-Electronics/GRM035R60J475ME15D?qs=I53XXhTNm8vhFCgPvCZ%252BPQ%3D%3D" TargetMode="External"/><Relationship Id="rId9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Y29"/>
  <sheetViews>
    <sheetView topLeftCell="K2" zoomScale="115" zoomScaleNormal="115" workbookViewId="0">
      <selection activeCell="R26" sqref="R26"/>
    </sheetView>
  </sheetViews>
  <sheetFormatPr baseColWidth="10" defaultRowHeight="15" x14ac:dyDescent="0.25"/>
  <cols>
    <col min="4" max="4" width="6.5703125" customWidth="1"/>
    <col min="5" max="5" width="16.140625" customWidth="1"/>
    <col min="6" max="6" width="31.140625" customWidth="1"/>
    <col min="7" max="7" width="13.42578125" customWidth="1"/>
    <col min="8" max="8" width="11.7109375" customWidth="1"/>
    <col min="9" max="9" width="16.140625" customWidth="1"/>
    <col min="10" max="10" width="13.28515625" customWidth="1"/>
    <col min="11" max="11" width="16.140625" customWidth="1"/>
    <col min="12" max="12" width="16" customWidth="1"/>
    <col min="13" max="13" width="11.7109375" customWidth="1"/>
    <col min="14" max="15" width="17.42578125" customWidth="1"/>
    <col min="16" max="16" width="21.42578125" bestFit="1" customWidth="1"/>
    <col min="17" max="17" width="9.42578125" bestFit="1" customWidth="1"/>
    <col min="18" max="18" width="19.140625" bestFit="1" customWidth="1"/>
    <col min="19" max="19" width="15.28515625" customWidth="1"/>
    <col min="20" max="20" width="12.5703125" customWidth="1"/>
    <col min="21" max="21" width="11.28515625" bestFit="1" customWidth="1"/>
    <col min="22" max="22" width="8.85546875" customWidth="1"/>
    <col min="23" max="23" width="20.140625" customWidth="1"/>
    <col min="24" max="24" width="13.5703125" customWidth="1"/>
    <col min="25" max="25" width="14.7109375" customWidth="1"/>
  </cols>
  <sheetData>
    <row r="2" spans="1:25" x14ac:dyDescent="0.25">
      <c r="X2" t="s">
        <v>39</v>
      </c>
      <c r="Y2" t="s">
        <v>44</v>
      </c>
    </row>
    <row r="3" spans="1:25" x14ac:dyDescent="0.25">
      <c r="A3" t="s">
        <v>0</v>
      </c>
      <c r="X3" t="e">
        <f>SUM(Tabla2[CantX$(USD)])</f>
        <v>#VALUE!</v>
      </c>
      <c r="Y3" t="e">
        <f>ROUND(SUM(Tabla2[CantX$(CLP)]),0)</f>
        <v>#VALUE!</v>
      </c>
    </row>
    <row r="4" spans="1:25" x14ac:dyDescent="0.25">
      <c r="A4" t="s">
        <v>1</v>
      </c>
    </row>
    <row r="5" spans="1:25" x14ac:dyDescent="0.25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114</v>
      </c>
      <c r="P5" t="s">
        <v>77</v>
      </c>
      <c r="Q5" t="s">
        <v>70</v>
      </c>
      <c r="R5" t="s">
        <v>111</v>
      </c>
      <c r="S5" t="s">
        <v>110</v>
      </c>
      <c r="T5" t="s">
        <v>108</v>
      </c>
      <c r="U5" t="s">
        <v>37</v>
      </c>
      <c r="V5" t="s">
        <v>38</v>
      </c>
      <c r="W5" t="s">
        <v>41</v>
      </c>
      <c r="X5" t="s">
        <v>42</v>
      </c>
      <c r="Y5" t="s">
        <v>43</v>
      </c>
    </row>
    <row r="6" spans="1:25" x14ac:dyDescent="0.25">
      <c r="A6" t="s">
        <v>4</v>
      </c>
      <c r="E6" t="s">
        <v>14</v>
      </c>
      <c r="F6">
        <v>1</v>
      </c>
      <c r="N6" t="s">
        <v>83</v>
      </c>
      <c r="O6" t="s">
        <v>118</v>
      </c>
      <c r="P6" t="s">
        <v>84</v>
      </c>
      <c r="Q6" t="s">
        <v>63</v>
      </c>
      <c r="R6" t="s">
        <v>123</v>
      </c>
      <c r="S6" t="s">
        <v>63</v>
      </c>
      <c r="T6" t="s">
        <v>63</v>
      </c>
      <c r="U6">
        <v>3</v>
      </c>
      <c r="V6" s="1" t="str">
        <f>HYPERLINK("https://mou.sr/47cPcHL","Mouser")</f>
        <v>Mouser</v>
      </c>
      <c r="W6">
        <v>0.1</v>
      </c>
      <c r="X6">
        <f>PRODUCT(Tabla2[[#This Row],[Cantidad]],Tabla2[[#This Row],[Precio unitario(USD)]])</f>
        <v>0.30000000000000004</v>
      </c>
      <c r="Y6">
        <f>PRODUCT(Tabla2[[#This Row],[CantX$(USD)]],941.85)</f>
        <v>282.55500000000006</v>
      </c>
    </row>
    <row r="7" spans="1:25" x14ac:dyDescent="0.25">
      <c r="A7" t="s">
        <v>5</v>
      </c>
      <c r="E7" t="s">
        <v>15</v>
      </c>
      <c r="F7">
        <v>1</v>
      </c>
      <c r="N7" t="s">
        <v>74</v>
      </c>
      <c r="O7" t="s">
        <v>118</v>
      </c>
      <c r="P7" t="s">
        <v>72</v>
      </c>
      <c r="Q7" t="s">
        <v>63</v>
      </c>
      <c r="R7" t="s">
        <v>123</v>
      </c>
      <c r="S7" t="s">
        <v>63</v>
      </c>
      <c r="T7" t="s">
        <v>63</v>
      </c>
      <c r="U7">
        <f>SUM(Tabla1[[#This Row],[Power Input(MAX15062AATA+T )]:[AS5600 ASOM]])</f>
        <v>1</v>
      </c>
      <c r="V7" s="1" t="str">
        <f>HYPERLINK("https://mou.sr/3JzqjNg","Mouser")</f>
        <v>Mouser</v>
      </c>
      <c r="W7">
        <v>0.34</v>
      </c>
      <c r="X7">
        <f>PRODUCT(Tabla2[[#This Row],[Cantidad]],Tabla2[[#This Row],[Precio unitario(USD)]])</f>
        <v>0.34</v>
      </c>
      <c r="Y7">
        <f>PRODUCT(Tabla2[[#This Row],[CantX$(USD)]],941.85)</f>
        <v>320.22900000000004</v>
      </c>
    </row>
    <row r="8" spans="1:25" x14ac:dyDescent="0.25">
      <c r="A8" t="s">
        <v>6</v>
      </c>
      <c r="E8" t="s">
        <v>16</v>
      </c>
      <c r="F8">
        <v>2</v>
      </c>
      <c r="G8">
        <v>2</v>
      </c>
      <c r="N8" t="s">
        <v>22</v>
      </c>
      <c r="O8" t="s">
        <v>119</v>
      </c>
      <c r="P8" t="s">
        <v>80</v>
      </c>
      <c r="Q8" t="s">
        <v>63</v>
      </c>
      <c r="R8" t="s">
        <v>122</v>
      </c>
      <c r="S8" t="s">
        <v>63</v>
      </c>
      <c r="T8" t="s">
        <v>63</v>
      </c>
      <c r="U8">
        <f>SUM(Tabla1[[#This Row],[Power Input(MAX15062AATA+T )]:[AS5600 ASOM]])</f>
        <v>4</v>
      </c>
      <c r="V8" s="2" t="s">
        <v>81</v>
      </c>
      <c r="W8">
        <v>0.18</v>
      </c>
      <c r="X8">
        <f>PRODUCT(Tabla2[[#This Row],[Cantidad]],Tabla2[[#This Row],[Precio unitario(USD)]])</f>
        <v>0.72</v>
      </c>
      <c r="Y8">
        <f>PRODUCT(Tabla2[[#This Row],[CantX$(USD)]],941.85)</f>
        <v>678.13199999999995</v>
      </c>
    </row>
    <row r="9" spans="1:25" x14ac:dyDescent="0.25">
      <c r="A9" t="s">
        <v>7</v>
      </c>
      <c r="E9" t="s">
        <v>35</v>
      </c>
      <c r="F9">
        <v>1</v>
      </c>
      <c r="N9" t="s">
        <v>40</v>
      </c>
      <c r="O9" t="s">
        <v>115</v>
      </c>
      <c r="P9" t="s">
        <v>90</v>
      </c>
      <c r="Q9" t="s">
        <v>63</v>
      </c>
      <c r="R9" t="s">
        <v>113</v>
      </c>
      <c r="S9" t="s">
        <v>63</v>
      </c>
      <c r="T9" t="s">
        <v>63</v>
      </c>
      <c r="U9">
        <f>SUM(Tabla1[[#This Row],[Power Input(MAX15062AATA+T )]:[AS5600 ASOM]])</f>
        <v>1</v>
      </c>
      <c r="V9" s="1" t="str">
        <f>HYPERLINK("https://mou.sr/47slRYu","Mouser")</f>
        <v>Mouser</v>
      </c>
      <c r="W9">
        <v>0.41</v>
      </c>
      <c r="X9">
        <f>PRODUCT(Tabla2[[#This Row],[Cantidad]],Tabla2[[#This Row],[Precio unitario(USD)]])</f>
        <v>0.41</v>
      </c>
      <c r="Y9">
        <f>PRODUCT(Tabla2[[#This Row],[CantX$(USD)]],941.85)</f>
        <v>386.1585</v>
      </c>
    </row>
    <row r="10" spans="1:25" x14ac:dyDescent="0.25">
      <c r="A10" t="s">
        <v>8</v>
      </c>
      <c r="E10" t="s">
        <v>36</v>
      </c>
      <c r="F10">
        <v>1</v>
      </c>
      <c r="N10" t="s">
        <v>94</v>
      </c>
      <c r="O10" t="s">
        <v>120</v>
      </c>
      <c r="P10" t="s">
        <v>93</v>
      </c>
      <c r="Q10" t="s">
        <v>63</v>
      </c>
      <c r="R10" t="s">
        <v>112</v>
      </c>
      <c r="S10" t="s">
        <v>63</v>
      </c>
      <c r="T10" t="s">
        <v>63</v>
      </c>
      <c r="U10">
        <f>SUM(Tabla1[[#This Row],[Power Input(MAX15062AATA+T )]:[AS5600 ASOM]])</f>
        <v>1</v>
      </c>
      <c r="V10" s="1" t="str">
        <f>HYPERLINK("https://mou.sr/4qpAEMl","Mouser")</f>
        <v>Mouser</v>
      </c>
      <c r="W10" s="4">
        <v>1.59</v>
      </c>
      <c r="X10">
        <f>PRODUCT(Tabla2[[#This Row],[Cantidad]],Tabla2[[#This Row],[Precio unitario(USD)]])</f>
        <v>1.59</v>
      </c>
      <c r="Y10">
        <f>PRODUCT(Tabla2[[#This Row],[CantX$(USD)]],941.85)</f>
        <v>1497.5415</v>
      </c>
    </row>
    <row r="11" spans="1:25" x14ac:dyDescent="0.25">
      <c r="E11" t="s">
        <v>17</v>
      </c>
      <c r="G11">
        <v>1</v>
      </c>
      <c r="N11" t="s">
        <v>23</v>
      </c>
      <c r="O11" t="s">
        <v>115</v>
      </c>
      <c r="P11" t="s">
        <v>23</v>
      </c>
      <c r="Q11" t="s">
        <v>63</v>
      </c>
      <c r="R11" t="s">
        <v>109</v>
      </c>
      <c r="S11" t="s">
        <v>63</v>
      </c>
      <c r="T11" t="s">
        <v>63</v>
      </c>
      <c r="U11">
        <f>SUM(Tabla1[[#This Row],[Power Input(MAX15062AATA+T )]:[AS5600 ASOM]])</f>
        <v>1</v>
      </c>
      <c r="V11" s="1" t="str">
        <f>HYPERLINK("https://mou.sr/42XoOiu","Mouser")</f>
        <v>Mouser</v>
      </c>
      <c r="W11">
        <v>0.34</v>
      </c>
      <c r="X11">
        <f>PRODUCT(Tabla2[[#This Row],[Cantidad]],Tabla2[[#This Row],[Precio unitario(USD)]])</f>
        <v>0.34</v>
      </c>
      <c r="Y11">
        <f>PRODUCT(Tabla2[[#This Row],[CantX$(USD)]],941.85)</f>
        <v>320.22900000000004</v>
      </c>
    </row>
    <row r="12" spans="1:25" x14ac:dyDescent="0.25">
      <c r="E12" t="s">
        <v>18</v>
      </c>
      <c r="G12">
        <v>1</v>
      </c>
      <c r="H12">
        <v>3</v>
      </c>
      <c r="N12" t="s">
        <v>19</v>
      </c>
      <c r="O12" t="s">
        <v>118</v>
      </c>
      <c r="P12" t="s">
        <v>82</v>
      </c>
      <c r="Q12" t="s">
        <v>63</v>
      </c>
      <c r="R12" t="s">
        <v>124</v>
      </c>
      <c r="S12" t="s">
        <v>63</v>
      </c>
      <c r="T12" t="s">
        <v>63</v>
      </c>
      <c r="U12">
        <f>SUM(Tabla1[[#This Row],[Power Input(MAX15062AATA+T )]:[AS5600 ASOM]])</f>
        <v>4</v>
      </c>
      <c r="V12" s="1" t="str">
        <f>HYPERLINK("https://mou.sr/47aSprm","Mouser")</f>
        <v>Mouser</v>
      </c>
      <c r="W12">
        <v>0.44</v>
      </c>
      <c r="X12">
        <f>PRODUCT(Tabla2[[#This Row],[Cantidad]],Tabla2[[#This Row],[Precio unitario(USD)]])</f>
        <v>1.76</v>
      </c>
      <c r="Y12">
        <f>PRODUCT(Tabla2[[#This Row],[CantX$(USD)]],941.85)</f>
        <v>1657.6559999999999</v>
      </c>
    </row>
    <row r="13" spans="1:25" x14ac:dyDescent="0.25">
      <c r="E13" t="s">
        <v>19</v>
      </c>
      <c r="G13">
        <v>1</v>
      </c>
      <c r="N13" t="s">
        <v>17</v>
      </c>
      <c r="O13" t="s">
        <v>118</v>
      </c>
      <c r="P13" t="s">
        <v>76</v>
      </c>
      <c r="Q13" t="s">
        <v>63</v>
      </c>
      <c r="R13" t="s">
        <v>127</v>
      </c>
      <c r="S13" t="s">
        <v>63</v>
      </c>
      <c r="T13" t="s">
        <v>63</v>
      </c>
      <c r="U13">
        <f>SUM(Tabla1[[#This Row],[Power Input(MAX15062AATA+T )]:[AS5600 ASOM]])</f>
        <v>1</v>
      </c>
      <c r="V13" s="1" t="str">
        <f>HYPERLINK("https://mou.sr/43ubkLk","Mouser")</f>
        <v>Mouser</v>
      </c>
      <c r="W13">
        <v>0.24</v>
      </c>
      <c r="X13">
        <f>PRODUCT(Tabla2[[#This Row],[Cantidad]],Tabla2[[#This Row],[Precio unitario(USD)]])</f>
        <v>0.24</v>
      </c>
      <c r="Y13">
        <f>PRODUCT(Tabla2[[#This Row],[CantX$(USD)]],941.85)</f>
        <v>226.04400000000001</v>
      </c>
    </row>
    <row r="14" spans="1:25" x14ac:dyDescent="0.25">
      <c r="E14" t="s">
        <v>22</v>
      </c>
      <c r="G14">
        <v>2</v>
      </c>
      <c r="N14" t="s">
        <v>21</v>
      </c>
      <c r="O14" t="s">
        <v>119</v>
      </c>
      <c r="P14" t="s">
        <v>55</v>
      </c>
      <c r="Q14" t="s">
        <v>63</v>
      </c>
      <c r="R14" t="s">
        <v>121</v>
      </c>
      <c r="S14" t="s">
        <v>63</v>
      </c>
      <c r="T14" t="s">
        <v>63</v>
      </c>
      <c r="U14">
        <f>SUM(Tabla1[[#This Row],[Power Input(MAX15062AATA+T )]:[AS5600 ASOM]])</f>
        <v>2</v>
      </c>
      <c r="V14" s="1" t="str">
        <f>HYPERLINK("https://mou.sr/47oFwIR","Mouser")</f>
        <v>Mouser</v>
      </c>
      <c r="W14">
        <v>0.6</v>
      </c>
      <c r="X14">
        <f>PRODUCT(Tabla2[[#This Row],[Cantidad]],Tabla2[[#This Row],[Precio unitario(USD)]])</f>
        <v>1.2</v>
      </c>
      <c r="Y14">
        <f>PRODUCT(Tabla2[[#This Row],[CantX$(USD)]],941.85)</f>
        <v>1130.22</v>
      </c>
    </row>
    <row r="15" spans="1:25" x14ac:dyDescent="0.25">
      <c r="E15" t="s">
        <v>20</v>
      </c>
      <c r="H15">
        <v>6</v>
      </c>
      <c r="N15" t="s">
        <v>18</v>
      </c>
      <c r="O15" t="s">
        <v>118</v>
      </c>
      <c r="P15" t="s">
        <v>56</v>
      </c>
      <c r="Q15" t="s">
        <v>63</v>
      </c>
      <c r="R15" t="s">
        <v>127</v>
      </c>
      <c r="S15" t="s">
        <v>63</v>
      </c>
      <c r="T15" t="s">
        <v>63</v>
      </c>
      <c r="U15">
        <f>SUM(Tabla1[[#This Row],[Power Input(MAX15062AATA+T )]:[AS5600 ASOM]])</f>
        <v>6</v>
      </c>
      <c r="V15" s="1" t="str">
        <f>HYPERLINK("https://mou.sr/47GKd25","Mouser")</f>
        <v>Mouser</v>
      </c>
      <c r="W15">
        <v>0.16</v>
      </c>
      <c r="X15">
        <f>PRODUCT(Tabla2[[#This Row],[Cantidad]],Tabla2[[#This Row],[Precio unitario(USD)]])</f>
        <v>0.96</v>
      </c>
      <c r="Y15">
        <f>PRODUCT(Tabla2[[#This Row],[CantX$(USD)]],941.85)</f>
        <v>904.17600000000004</v>
      </c>
    </row>
    <row r="16" spans="1:25" x14ac:dyDescent="0.25">
      <c r="E16" t="s">
        <v>21</v>
      </c>
      <c r="H16">
        <v>3</v>
      </c>
      <c r="N16" t="s">
        <v>15</v>
      </c>
      <c r="O16" t="s">
        <v>118</v>
      </c>
      <c r="P16" t="s">
        <v>75</v>
      </c>
      <c r="Q16" t="s">
        <v>63</v>
      </c>
      <c r="R16" t="s">
        <v>126</v>
      </c>
      <c r="S16" t="s">
        <v>63</v>
      </c>
      <c r="T16" t="s">
        <v>63</v>
      </c>
      <c r="U16">
        <f>SUM(Tabla1[[#This Row],[Power Input(MAX15062AATA+T )]:[AS5600 ASOM]])</f>
        <v>3</v>
      </c>
      <c r="V16" s="1" t="str">
        <f>HYPERLINK("https://mou.sr/4oCNLrW","Mouser")</f>
        <v>Mouser</v>
      </c>
      <c r="W16">
        <v>0.42</v>
      </c>
      <c r="X16">
        <f>PRODUCT(Tabla2[[#This Row],[Cantidad]],Tabla2[[#This Row],[Precio unitario(USD)]])</f>
        <v>1.26</v>
      </c>
      <c r="Y16">
        <f>PRODUCT(Tabla2[[#This Row],[CantX$(USD)]],941.85)</f>
        <v>1186.731</v>
      </c>
    </row>
    <row r="17" spans="5:25" x14ac:dyDescent="0.25">
      <c r="E17" t="s">
        <v>23</v>
      </c>
      <c r="H17">
        <v>3</v>
      </c>
      <c r="N17" t="s">
        <v>29</v>
      </c>
      <c r="O17" t="s">
        <v>118</v>
      </c>
      <c r="P17" t="s">
        <v>78</v>
      </c>
      <c r="Q17" t="s">
        <v>63</v>
      </c>
      <c r="R17" t="s">
        <v>128</v>
      </c>
      <c r="S17" t="s">
        <v>63</v>
      </c>
      <c r="T17" t="s">
        <v>63</v>
      </c>
      <c r="U17">
        <v>12</v>
      </c>
      <c r="V17" s="1" t="str">
        <f>HYPERLINK("https://mou.sr/3WUpj9x","Mouser")</f>
        <v>Mouser</v>
      </c>
      <c r="W17">
        <v>0.8</v>
      </c>
      <c r="X17">
        <f>PRODUCT(Tabla2[[#This Row],[Cantidad]],Tabla2[[#This Row],[Precio unitario(USD)]])</f>
        <v>9.6000000000000014</v>
      </c>
      <c r="Y17">
        <f>PRODUCT(Tabla2[[#This Row],[CantX$(USD)]],941.85)</f>
        <v>9041.760000000002</v>
      </c>
    </row>
    <row r="18" spans="5:25" x14ac:dyDescent="0.25">
      <c r="E18" t="s">
        <v>24</v>
      </c>
      <c r="I18">
        <v>3</v>
      </c>
      <c r="N18" t="s">
        <v>31</v>
      </c>
      <c r="O18" t="s">
        <v>118</v>
      </c>
      <c r="P18" t="s">
        <v>95</v>
      </c>
      <c r="Q18" t="s">
        <v>63</v>
      </c>
      <c r="R18" t="s">
        <v>125</v>
      </c>
      <c r="S18" t="s">
        <v>63</v>
      </c>
      <c r="T18" t="s">
        <v>63</v>
      </c>
      <c r="U18">
        <f>SUM(Tabla1[[#This Row],[Power Input(MAX15062AATA+T )]:[AS5600 ASOM]])</f>
        <v>3</v>
      </c>
      <c r="V18" s="2" t="str">
        <f>HYPERLINK("https://mou.sr/4owREP0","Mouser")</f>
        <v>Mouser</v>
      </c>
      <c r="W18">
        <v>0.1</v>
      </c>
      <c r="X18">
        <f>PRODUCT(Tabla2[[#This Row],[Cantidad]],Tabla2[[#This Row],[Precio unitario(USD)]])</f>
        <v>0.30000000000000004</v>
      </c>
      <c r="Y18">
        <f>PRODUCT(Tabla2[[#This Row],[CantX$(USD)]],941.85)</f>
        <v>282.55500000000006</v>
      </c>
    </row>
    <row r="19" spans="5:25" x14ac:dyDescent="0.25">
      <c r="E19" t="s">
        <v>25</v>
      </c>
      <c r="I19">
        <v>3</v>
      </c>
      <c r="N19" t="s">
        <v>100</v>
      </c>
      <c r="O19" t="s">
        <v>118</v>
      </c>
      <c r="P19" t="s">
        <v>104</v>
      </c>
      <c r="Q19" t="s">
        <v>63</v>
      </c>
      <c r="R19" t="s">
        <v>131</v>
      </c>
      <c r="S19" t="s">
        <v>63</v>
      </c>
      <c r="T19" t="s">
        <v>63</v>
      </c>
      <c r="U19">
        <v>1</v>
      </c>
      <c r="V19" s="1" t="s">
        <v>107</v>
      </c>
      <c r="X19">
        <f>PRODUCT(Tabla2[[#This Row],[Cantidad]],Tabla2[[#This Row],[Precio unitario(USD)]])</f>
        <v>1</v>
      </c>
      <c r="Y19">
        <f>PRODUCT(Tabla2[[#This Row],[CantX$(USD)]],941.85)</f>
        <v>941.85</v>
      </c>
    </row>
    <row r="20" spans="5:25" x14ac:dyDescent="0.25">
      <c r="E20" t="s">
        <v>26</v>
      </c>
      <c r="J20">
        <v>2</v>
      </c>
      <c r="N20" t="s">
        <v>32</v>
      </c>
      <c r="O20" t="s">
        <v>118</v>
      </c>
      <c r="P20" t="s">
        <v>96</v>
      </c>
      <c r="Q20" t="s">
        <v>63</v>
      </c>
      <c r="R20" t="s">
        <v>129</v>
      </c>
      <c r="S20" t="s">
        <v>63</v>
      </c>
      <c r="T20" t="s">
        <v>63</v>
      </c>
      <c r="U20">
        <f>SUM(Tabla1[[#This Row],[Power Input(MAX15062AATA+T )]:[AS5600 ASOM]])</f>
        <v>2</v>
      </c>
      <c r="V20" s="2" t="str">
        <f>HYPERLINK("https://mou.sr/4qt9N1T","Mouser")</f>
        <v>Mouser</v>
      </c>
      <c r="W20">
        <v>0.1</v>
      </c>
      <c r="X20">
        <f>PRODUCT(Tabla2[[#This Row],[Cantidad]],Tabla2[[#This Row],[Precio unitario(USD)]])</f>
        <v>0.2</v>
      </c>
      <c r="Y20">
        <f>PRODUCT(Tabla2[[#This Row],[CantX$(USD)]],941.85)</f>
        <v>188.37</v>
      </c>
    </row>
    <row r="21" spans="5:25" x14ac:dyDescent="0.25">
      <c r="E21" t="s">
        <v>27</v>
      </c>
      <c r="J21">
        <v>2</v>
      </c>
      <c r="N21" t="s">
        <v>73</v>
      </c>
      <c r="O21" t="s">
        <v>118</v>
      </c>
      <c r="P21" t="s">
        <v>103</v>
      </c>
      <c r="Q21" t="s">
        <v>63</v>
      </c>
      <c r="R21" t="s">
        <v>127</v>
      </c>
      <c r="S21" t="s">
        <v>63</v>
      </c>
      <c r="T21" t="s">
        <v>63</v>
      </c>
      <c r="U21">
        <v>1</v>
      </c>
      <c r="V21" s="1" t="s">
        <v>106</v>
      </c>
      <c r="X21">
        <f>PRODUCT(Tabla2[[#This Row],[Cantidad]],Tabla2[[#This Row],[Precio unitario(USD)]])</f>
        <v>1</v>
      </c>
      <c r="Y21">
        <f>PRODUCT(Tabla2[[#This Row],[CantX$(USD)]],941.85)</f>
        <v>941.85</v>
      </c>
    </row>
    <row r="22" spans="5:25" x14ac:dyDescent="0.25">
      <c r="E22" t="s">
        <v>29</v>
      </c>
      <c r="K22">
        <v>12</v>
      </c>
      <c r="N22" t="s">
        <v>102</v>
      </c>
      <c r="O22" t="s">
        <v>118</v>
      </c>
      <c r="P22" t="s">
        <v>101</v>
      </c>
      <c r="Q22" t="s">
        <v>63</v>
      </c>
      <c r="R22" t="s">
        <v>130</v>
      </c>
      <c r="S22" t="s">
        <v>63</v>
      </c>
      <c r="T22" t="s">
        <v>63</v>
      </c>
      <c r="U22">
        <v>5</v>
      </c>
      <c r="V22" s="1" t="s">
        <v>105</v>
      </c>
      <c r="X22">
        <f>PRODUCT(Tabla2[[#This Row],[Cantidad]],Tabla2[[#This Row],[Precio unitario(USD)]])</f>
        <v>5</v>
      </c>
      <c r="Y22">
        <f>PRODUCT(Tabla2[[#This Row],[CantX$(USD)]],941.85)</f>
        <v>4709.25</v>
      </c>
    </row>
    <row r="23" spans="5:25" x14ac:dyDescent="0.25">
      <c r="E23" t="s">
        <v>31</v>
      </c>
      <c r="L23">
        <v>1</v>
      </c>
      <c r="N23" t="s">
        <v>33</v>
      </c>
      <c r="O23" t="s">
        <v>119</v>
      </c>
      <c r="P23" s="4" t="s">
        <v>91</v>
      </c>
      <c r="Q23" t="s">
        <v>63</v>
      </c>
      <c r="R23" t="s">
        <v>132</v>
      </c>
      <c r="S23" t="s">
        <v>63</v>
      </c>
      <c r="T23" t="s">
        <v>63</v>
      </c>
      <c r="U23">
        <v>1</v>
      </c>
      <c r="V23" s="1" t="s">
        <v>92</v>
      </c>
      <c r="W23">
        <v>0.32</v>
      </c>
      <c r="X23">
        <f>PRODUCT(Tabla2[[#This Row],[Cantidad]],Tabla2[[#This Row],[Precio unitario(USD)]])</f>
        <v>0.32</v>
      </c>
      <c r="Y23">
        <f>PRODUCT(Tabla2[[#This Row],[CantX$(USD)]],941.85)</f>
        <v>301.392</v>
      </c>
    </row>
    <row r="24" spans="5:25" x14ac:dyDescent="0.25">
      <c r="E24" t="s">
        <v>32</v>
      </c>
      <c r="F24">
        <v>1</v>
      </c>
      <c r="L24">
        <v>1</v>
      </c>
      <c r="N24" t="s">
        <v>24</v>
      </c>
      <c r="O24" t="s">
        <v>119</v>
      </c>
      <c r="P24" t="s">
        <v>85</v>
      </c>
      <c r="Q24" t="s">
        <v>63</v>
      </c>
      <c r="R24" t="s">
        <v>132</v>
      </c>
      <c r="S24" t="s">
        <v>63</v>
      </c>
      <c r="T24" t="s">
        <v>63</v>
      </c>
      <c r="U24">
        <f>SUM(Tabla1[[#This Row],[Power Input(MAX15062AATA+T )]:[AS5600 ASOM]])</f>
        <v>2</v>
      </c>
      <c r="V24" s="1" t="str">
        <f>HYPERLINK("https://mou.sr/47bBWDf","Mouser")</f>
        <v>Mouser</v>
      </c>
      <c r="W24">
        <v>0.15</v>
      </c>
      <c r="X24">
        <f>PRODUCT(Tabla2[[#This Row],[Cantidad]],Tabla2[[#This Row],[Precio unitario(USD)]])</f>
        <v>0.3</v>
      </c>
      <c r="Y24">
        <f>PRODUCT(Tabla2[[#This Row],[CantX$(USD)]],941.85)</f>
        <v>282.55500000000001</v>
      </c>
    </row>
    <row r="25" spans="5:25" x14ac:dyDescent="0.25">
      <c r="E25" t="s">
        <v>33</v>
      </c>
      <c r="L25">
        <v>2</v>
      </c>
      <c r="N25" t="s">
        <v>26</v>
      </c>
      <c r="O25" t="s">
        <v>119</v>
      </c>
      <c r="P25" t="s">
        <v>89</v>
      </c>
      <c r="Q25" t="s">
        <v>63</v>
      </c>
      <c r="R25" t="s">
        <v>132</v>
      </c>
      <c r="S25" t="s">
        <v>63</v>
      </c>
      <c r="T25" t="s">
        <v>63</v>
      </c>
      <c r="U25">
        <f>SUM(Tabla1[[#This Row],[Power Input(MAX15062AATA+T )]:[AS5600 ASOM]])</f>
        <v>2</v>
      </c>
      <c r="V25" s="1" t="str">
        <f>HYPERLINK("https://mou.sr/48K3Qr8","Mouser")</f>
        <v>Mouser</v>
      </c>
      <c r="W25">
        <v>0.23</v>
      </c>
      <c r="X25">
        <f>PRODUCT(Tabla2[[#This Row],[Cantidad]],Tabla2[[#This Row],[Precio unitario(USD)]])</f>
        <v>0.46</v>
      </c>
      <c r="Y25">
        <f>PRODUCT(Tabla2[[#This Row],[CantX$(USD)]],941.85)</f>
        <v>433.25100000000003</v>
      </c>
    </row>
    <row r="26" spans="5:25" x14ac:dyDescent="0.25">
      <c r="N26" t="s">
        <v>36</v>
      </c>
      <c r="O26" t="s">
        <v>115</v>
      </c>
      <c r="P26" t="s">
        <v>97</v>
      </c>
      <c r="Q26" t="s">
        <v>63</v>
      </c>
      <c r="R26" t="s">
        <v>135</v>
      </c>
      <c r="S26" t="s">
        <v>63</v>
      </c>
      <c r="T26" t="s">
        <v>63</v>
      </c>
      <c r="U26" t="e">
        <f>SUM(Tabla1[[#This Row],[Power Input(MAX15062AATA+T )]:[AS5600 ASOM]])</f>
        <v>#VALUE!</v>
      </c>
      <c r="V26" s="1" t="str">
        <f>HYPERLINK("https://mou.sr/3Wle1em","Mouser")</f>
        <v>Mouser</v>
      </c>
      <c r="W26">
        <v>0.34</v>
      </c>
      <c r="X26" t="e">
        <f>PRODUCT(Tabla2[[#This Row],[Cantidad]],Tabla2[[#This Row],[Precio unitario(USD)]])</f>
        <v>#VALUE!</v>
      </c>
      <c r="Y26" t="e">
        <f>PRODUCT(Tabla2[[#This Row],[CantX$(USD)]],941.85)</f>
        <v>#VALUE!</v>
      </c>
    </row>
    <row r="27" spans="5:25" x14ac:dyDescent="0.25">
      <c r="N27" t="s">
        <v>20</v>
      </c>
      <c r="O27" t="s">
        <v>116</v>
      </c>
      <c r="P27" t="s">
        <v>20</v>
      </c>
      <c r="Q27" t="s">
        <v>63</v>
      </c>
      <c r="R27" t="s">
        <v>20</v>
      </c>
      <c r="S27" t="s">
        <v>63</v>
      </c>
      <c r="T27" t="s">
        <v>63</v>
      </c>
      <c r="U27" t="e">
        <f>SUM(Tabla1[[#This Row],[Power Input(MAX15062AATA+T )]:[AS5600 ASOM]])</f>
        <v>#VALUE!</v>
      </c>
      <c r="V27" s="1" t="str">
        <f>HYPERLINK("https://mou.sr/3Jxp5Cd","Mouser")</f>
        <v>Mouser</v>
      </c>
      <c r="W27">
        <v>1.1100000000000001</v>
      </c>
      <c r="X27" t="e">
        <f>PRODUCT(Tabla2[[#This Row],[Cantidad]],Tabla2[[#This Row],[Precio unitario(USD)]])</f>
        <v>#VALUE!</v>
      </c>
      <c r="Y27" t="e">
        <f>PRODUCT(Tabla2[[#This Row],[CantX$(USD)]],941.85)</f>
        <v>#VALUE!</v>
      </c>
    </row>
    <row r="28" spans="5:25" x14ac:dyDescent="0.25">
      <c r="N28" t="s">
        <v>134</v>
      </c>
      <c r="O28" t="s">
        <v>117</v>
      </c>
      <c r="P28" t="s">
        <v>14</v>
      </c>
      <c r="Q28" t="s">
        <v>63</v>
      </c>
      <c r="R28" t="s">
        <v>133</v>
      </c>
      <c r="S28" t="s">
        <v>63</v>
      </c>
      <c r="T28" t="s">
        <v>63</v>
      </c>
      <c r="U28" t="e">
        <f>SUM(Tabla1[[#This Row],[Power Input(MAX15062AATA+T )]:[AS5600 ASOM]])</f>
        <v>#VALUE!</v>
      </c>
      <c r="V28" s="1" t="str">
        <f>HYPERLINK("https://octopart.com/es/xt60pw-m-amass-118051292","Octopart")</f>
        <v>Octopart</v>
      </c>
      <c r="W28">
        <v>0.9</v>
      </c>
      <c r="X28" t="e">
        <f>PRODUCT(Tabla2[[#This Row],[Cantidad]],Tabla2[[#This Row],[Precio unitario(USD)]])</f>
        <v>#VALUE!</v>
      </c>
      <c r="Y28" t="e">
        <f>PRODUCT(Tabla2[[#This Row],[CantX$(USD)]],942)</f>
        <v>#VALUE!</v>
      </c>
    </row>
    <row r="29" spans="5:25" x14ac:dyDescent="0.25">
      <c r="U29" s="6"/>
      <c r="Y29" s="3"/>
    </row>
  </sheetData>
  <hyperlinks>
    <hyperlink ref="V8" r:id="rId1" xr:uid="{155DAB3D-C7B6-4D36-AC1F-62B6A9BEF3AD}"/>
    <hyperlink ref="V22" r:id="rId2" xr:uid="{B765BA37-3C00-40F5-AEDD-838B98A4DF8E}"/>
    <hyperlink ref="V21" r:id="rId3" xr:uid="{B0DD47A4-DB96-49FA-9651-714D11187895}"/>
    <hyperlink ref="V19" r:id="rId4" xr:uid="{23FAA789-D6A4-48F6-B5EA-A3B0AFCD0314}"/>
    <hyperlink ref="V23" r:id="rId5" xr:uid="{3AFEECC7-F076-4F50-A9F6-AB0039D9AEF1}"/>
  </hyperlinks>
  <pageMargins left="0.7" right="0.7" top="0.75" bottom="0.75" header="0.3" footer="0.3"/>
  <pageSetup paperSize="9" orientation="portrait" verticalDpi="0"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F4C88-DBF5-4C06-9F1A-BD52F4E19CCD}">
  <dimension ref="C6:H39"/>
  <sheetViews>
    <sheetView tabSelected="1" topLeftCell="A24" workbookViewId="0">
      <selection activeCell="F39" sqref="F39"/>
    </sheetView>
  </sheetViews>
  <sheetFormatPr baseColWidth="10" defaultRowHeight="15" x14ac:dyDescent="0.25"/>
  <cols>
    <col min="4" max="4" width="11.140625" bestFit="1" customWidth="1"/>
    <col min="5" max="5" width="26.28515625" customWidth="1"/>
    <col min="6" max="6" width="53" customWidth="1"/>
  </cols>
  <sheetData>
    <row r="6" spans="3:8" ht="60" x14ac:dyDescent="0.25">
      <c r="C6" s="9" t="s">
        <v>136</v>
      </c>
      <c r="D6" s="9" t="s">
        <v>114</v>
      </c>
      <c r="E6" s="9" t="s">
        <v>137</v>
      </c>
      <c r="F6" s="9" t="s">
        <v>138</v>
      </c>
      <c r="G6" s="9" t="s">
        <v>236</v>
      </c>
      <c r="H6" s="9" t="s">
        <v>237</v>
      </c>
    </row>
    <row r="7" spans="3:8" ht="30" x14ac:dyDescent="0.25">
      <c r="C7" s="10" t="s">
        <v>36</v>
      </c>
      <c r="D7" s="10" t="s">
        <v>139</v>
      </c>
      <c r="E7" s="10" t="s">
        <v>140</v>
      </c>
      <c r="F7" s="10" t="s">
        <v>141</v>
      </c>
      <c r="G7" s="10" t="s">
        <v>63</v>
      </c>
    </row>
    <row r="8" spans="3:8" ht="75" x14ac:dyDescent="0.25">
      <c r="C8" s="10" t="s">
        <v>142</v>
      </c>
      <c r="D8" s="10" t="s">
        <v>143</v>
      </c>
      <c r="E8" s="10" t="s">
        <v>144</v>
      </c>
      <c r="F8" s="10" t="s">
        <v>145</v>
      </c>
    </row>
    <row r="9" spans="3:8" ht="30" x14ac:dyDescent="0.25">
      <c r="C9" s="10" t="s">
        <v>146</v>
      </c>
      <c r="D9" s="10" t="s">
        <v>147</v>
      </c>
      <c r="E9" s="10" t="s">
        <v>148</v>
      </c>
      <c r="F9" s="10" t="s">
        <v>149</v>
      </c>
      <c r="G9" s="10" t="s">
        <v>63</v>
      </c>
    </row>
    <row r="10" spans="3:8" x14ac:dyDescent="0.25">
      <c r="C10" s="10" t="s">
        <v>134</v>
      </c>
      <c r="D10" s="10" t="s">
        <v>150</v>
      </c>
      <c r="E10" s="10" t="s">
        <v>151</v>
      </c>
      <c r="F10" s="10" t="s">
        <v>152</v>
      </c>
      <c r="G10" s="10" t="s">
        <v>63</v>
      </c>
    </row>
    <row r="11" spans="3:8" ht="30" x14ac:dyDescent="0.25">
      <c r="C11" s="10" t="s">
        <v>153</v>
      </c>
      <c r="D11" s="10" t="s">
        <v>154</v>
      </c>
      <c r="E11" s="10" t="s">
        <v>155</v>
      </c>
      <c r="F11" s="10" t="s">
        <v>156</v>
      </c>
      <c r="G11" s="10" t="s">
        <v>63</v>
      </c>
    </row>
    <row r="12" spans="3:8" ht="30" x14ac:dyDescent="0.25">
      <c r="C12" s="10" t="s">
        <v>157</v>
      </c>
      <c r="D12" s="10" t="s">
        <v>154</v>
      </c>
      <c r="E12" s="10" t="s">
        <v>158</v>
      </c>
      <c r="F12" s="10" t="s">
        <v>159</v>
      </c>
      <c r="G12" s="10" t="s">
        <v>63</v>
      </c>
    </row>
    <row r="13" spans="3:8" ht="30" x14ac:dyDescent="0.25">
      <c r="C13" s="10" t="s">
        <v>55</v>
      </c>
      <c r="D13" s="10" t="s">
        <v>160</v>
      </c>
      <c r="E13" s="10" t="s">
        <v>161</v>
      </c>
      <c r="F13" s="10" t="s">
        <v>162</v>
      </c>
      <c r="G13" s="10" t="s">
        <v>63</v>
      </c>
    </row>
    <row r="14" spans="3:8" ht="30" x14ac:dyDescent="0.25">
      <c r="C14" s="10" t="s">
        <v>20</v>
      </c>
      <c r="D14" s="10" t="s">
        <v>58</v>
      </c>
      <c r="E14" s="10" t="s">
        <v>163</v>
      </c>
      <c r="F14" s="10" t="s">
        <v>164</v>
      </c>
      <c r="G14" s="10" t="s">
        <v>63</v>
      </c>
    </row>
    <row r="15" spans="3:8" ht="30" x14ac:dyDescent="0.25">
      <c r="C15" s="10" t="s">
        <v>165</v>
      </c>
      <c r="D15" s="10" t="s">
        <v>166</v>
      </c>
      <c r="E15" s="10" t="s">
        <v>167</v>
      </c>
      <c r="F15" s="10" t="s">
        <v>168</v>
      </c>
      <c r="G15" s="10" t="s">
        <v>63</v>
      </c>
    </row>
    <row r="16" spans="3:8" ht="30" x14ac:dyDescent="0.25">
      <c r="C16" s="10" t="s">
        <v>169</v>
      </c>
      <c r="D16" s="10" t="s">
        <v>166</v>
      </c>
      <c r="E16" s="10" t="s">
        <v>170</v>
      </c>
      <c r="F16" s="10" t="s">
        <v>171</v>
      </c>
      <c r="G16" s="10" t="s">
        <v>63</v>
      </c>
    </row>
    <row r="17" spans="3:7" ht="30" x14ac:dyDescent="0.25">
      <c r="C17" s="10" t="s">
        <v>172</v>
      </c>
      <c r="D17" s="10" t="s">
        <v>166</v>
      </c>
      <c r="E17" s="10" t="s">
        <v>173</v>
      </c>
      <c r="F17" s="10" t="s">
        <v>174</v>
      </c>
      <c r="G17" s="10" t="s">
        <v>63</v>
      </c>
    </row>
    <row r="18" spans="3:7" ht="30" x14ac:dyDescent="0.25">
      <c r="C18" s="10" t="s">
        <v>23</v>
      </c>
      <c r="D18" s="10" t="s">
        <v>175</v>
      </c>
      <c r="E18" s="10" t="s">
        <v>176</v>
      </c>
      <c r="F18" s="10" t="s">
        <v>177</v>
      </c>
      <c r="G18" s="10" t="s">
        <v>63</v>
      </c>
    </row>
    <row r="19" spans="3:7" ht="30" x14ac:dyDescent="0.25">
      <c r="C19" s="11" t="s">
        <v>178</v>
      </c>
      <c r="D19" s="11" t="s">
        <v>179</v>
      </c>
      <c r="E19" s="11" t="s">
        <v>180</v>
      </c>
      <c r="F19" s="11" t="s">
        <v>181</v>
      </c>
    </row>
    <row r="20" spans="3:7" ht="30" x14ac:dyDescent="0.25">
      <c r="C20" s="10" t="s">
        <v>182</v>
      </c>
      <c r="D20" s="10" t="s">
        <v>183</v>
      </c>
      <c r="E20" s="10" t="s">
        <v>184</v>
      </c>
      <c r="F20" s="10" t="s">
        <v>185</v>
      </c>
      <c r="G20" s="10" t="s">
        <v>63</v>
      </c>
    </row>
    <row r="21" spans="3:7" x14ac:dyDescent="0.25">
      <c r="C21" s="10" t="s">
        <v>186</v>
      </c>
      <c r="D21" s="10" t="s">
        <v>150</v>
      </c>
      <c r="E21" s="10" t="s">
        <v>187</v>
      </c>
      <c r="F21" s="10" t="s">
        <v>188</v>
      </c>
      <c r="G21" s="10" t="s">
        <v>63</v>
      </c>
    </row>
    <row r="22" spans="3:7" ht="30" x14ac:dyDescent="0.25">
      <c r="C22" s="10" t="s">
        <v>189</v>
      </c>
      <c r="D22" s="10" t="s">
        <v>190</v>
      </c>
      <c r="E22" s="10" t="s">
        <v>191</v>
      </c>
      <c r="F22" s="10" t="s">
        <v>192</v>
      </c>
      <c r="G22" s="10" t="s">
        <v>63</v>
      </c>
    </row>
    <row r="23" spans="3:7" ht="30" x14ac:dyDescent="0.25">
      <c r="C23" s="10" t="s">
        <v>193</v>
      </c>
      <c r="D23" s="10" t="s">
        <v>65</v>
      </c>
      <c r="E23" s="10" t="s">
        <v>194</v>
      </c>
      <c r="F23" s="10" t="s">
        <v>195</v>
      </c>
      <c r="G23" s="10" t="s">
        <v>63</v>
      </c>
    </row>
    <row r="24" spans="3:7" ht="30" x14ac:dyDescent="0.25">
      <c r="C24" s="10" t="s">
        <v>196</v>
      </c>
      <c r="D24" s="10" t="s">
        <v>150</v>
      </c>
      <c r="E24" s="10" t="s">
        <v>197</v>
      </c>
      <c r="F24" s="10" t="s">
        <v>198</v>
      </c>
      <c r="G24" s="10" t="s">
        <v>63</v>
      </c>
    </row>
    <row r="25" spans="3:7" ht="45" x14ac:dyDescent="0.25">
      <c r="C25" s="10" t="s">
        <v>199</v>
      </c>
      <c r="D25" s="10" t="s">
        <v>166</v>
      </c>
      <c r="E25" s="10" t="s">
        <v>200</v>
      </c>
      <c r="F25" s="10" t="s">
        <v>201</v>
      </c>
      <c r="G25" s="10" t="s">
        <v>63</v>
      </c>
    </row>
    <row r="26" spans="3:7" ht="30" x14ac:dyDescent="0.25">
      <c r="C26" s="10" t="s">
        <v>101</v>
      </c>
      <c r="D26" s="10" t="s">
        <v>166</v>
      </c>
      <c r="E26" s="10" t="s">
        <v>202</v>
      </c>
      <c r="F26" s="10" t="s">
        <v>203</v>
      </c>
      <c r="G26" s="10" t="s">
        <v>63</v>
      </c>
    </row>
    <row r="27" spans="3:7" ht="30" x14ac:dyDescent="0.25">
      <c r="C27" s="10" t="s">
        <v>75</v>
      </c>
      <c r="D27" s="10" t="s">
        <v>166</v>
      </c>
      <c r="E27" s="10" t="s">
        <v>204</v>
      </c>
      <c r="F27" s="10" t="s">
        <v>205</v>
      </c>
      <c r="G27" s="10" t="s">
        <v>63</v>
      </c>
    </row>
    <row r="28" spans="3:7" ht="30" x14ac:dyDescent="0.25">
      <c r="C28" s="10" t="s">
        <v>96</v>
      </c>
      <c r="D28" s="10" t="s">
        <v>166</v>
      </c>
      <c r="E28" s="10" t="s">
        <v>206</v>
      </c>
      <c r="F28" s="10" t="s">
        <v>207</v>
      </c>
      <c r="G28" s="10" t="s">
        <v>63</v>
      </c>
    </row>
    <row r="29" spans="3:7" ht="30" x14ac:dyDescent="0.25">
      <c r="C29" s="10" t="s">
        <v>208</v>
      </c>
      <c r="D29" s="10" t="s">
        <v>166</v>
      </c>
      <c r="E29" s="10" t="s">
        <v>209</v>
      </c>
      <c r="F29" s="10" t="s">
        <v>210</v>
      </c>
      <c r="G29" s="10" t="s">
        <v>63</v>
      </c>
    </row>
    <row r="30" spans="3:7" ht="30" x14ac:dyDescent="0.25">
      <c r="C30" s="10" t="s">
        <v>103</v>
      </c>
      <c r="D30" s="10" t="s">
        <v>166</v>
      </c>
      <c r="E30" s="10" t="s">
        <v>211</v>
      </c>
      <c r="F30" s="10" t="s">
        <v>212</v>
      </c>
      <c r="G30" s="10" t="s">
        <v>63</v>
      </c>
    </row>
    <row r="31" spans="3:7" ht="30" x14ac:dyDescent="0.25">
      <c r="C31" s="10" t="s">
        <v>56</v>
      </c>
      <c r="D31" s="10" t="s">
        <v>166</v>
      </c>
      <c r="E31" s="10" t="s">
        <v>213</v>
      </c>
      <c r="F31" s="10" t="s">
        <v>214</v>
      </c>
      <c r="G31" s="10" t="s">
        <v>63</v>
      </c>
    </row>
    <row r="32" spans="3:7" ht="30" x14ac:dyDescent="0.25">
      <c r="C32" s="10" t="s">
        <v>95</v>
      </c>
      <c r="D32" s="10" t="s">
        <v>166</v>
      </c>
      <c r="E32" s="10" t="s">
        <v>215</v>
      </c>
      <c r="F32" s="10" t="s">
        <v>216</v>
      </c>
      <c r="G32" s="10" t="s">
        <v>63</v>
      </c>
    </row>
    <row r="33" spans="3:7" ht="30" x14ac:dyDescent="0.25">
      <c r="C33" s="10" t="s">
        <v>217</v>
      </c>
      <c r="D33" s="10" t="s">
        <v>27</v>
      </c>
      <c r="E33" s="10" t="s">
        <v>218</v>
      </c>
      <c r="F33" s="10" t="s">
        <v>219</v>
      </c>
      <c r="G33" s="10" t="s">
        <v>63</v>
      </c>
    </row>
    <row r="34" spans="3:7" ht="30" x14ac:dyDescent="0.25">
      <c r="C34" s="10" t="s">
        <v>220</v>
      </c>
      <c r="D34" s="10" t="s">
        <v>154</v>
      </c>
      <c r="E34" s="10" t="s">
        <v>221</v>
      </c>
      <c r="F34" s="10" t="s">
        <v>222</v>
      </c>
      <c r="G34" s="10" t="s">
        <v>63</v>
      </c>
    </row>
    <row r="35" spans="3:7" ht="30" x14ac:dyDescent="0.25">
      <c r="C35" s="10" t="s">
        <v>85</v>
      </c>
      <c r="D35" s="10" t="s">
        <v>154</v>
      </c>
      <c r="E35" s="10" t="s">
        <v>223</v>
      </c>
      <c r="F35" s="10" t="s">
        <v>224</v>
      </c>
      <c r="G35" s="10" t="s">
        <v>63</v>
      </c>
    </row>
    <row r="36" spans="3:7" x14ac:dyDescent="0.25">
      <c r="C36" s="10" t="s">
        <v>14</v>
      </c>
      <c r="D36" s="10" t="s">
        <v>150</v>
      </c>
      <c r="E36" s="10" t="s">
        <v>225</v>
      </c>
      <c r="F36" s="10" t="s">
        <v>226</v>
      </c>
      <c r="G36" s="10" t="s">
        <v>63</v>
      </c>
    </row>
    <row r="37" spans="3:7" ht="30" x14ac:dyDescent="0.25">
      <c r="C37" s="10" t="s">
        <v>76</v>
      </c>
      <c r="D37" s="10" t="s">
        <v>166</v>
      </c>
      <c r="E37" s="10" t="s">
        <v>227</v>
      </c>
      <c r="F37" s="10" t="s">
        <v>228</v>
      </c>
      <c r="G37" s="10" t="s">
        <v>63</v>
      </c>
    </row>
    <row r="38" spans="3:7" ht="30" x14ac:dyDescent="0.25">
      <c r="C38" s="10" t="s">
        <v>229</v>
      </c>
      <c r="D38" s="10" t="s">
        <v>230</v>
      </c>
      <c r="E38" s="10" t="s">
        <v>231</v>
      </c>
      <c r="F38" s="10" t="s">
        <v>232</v>
      </c>
      <c r="G38" s="10" t="s">
        <v>63</v>
      </c>
    </row>
    <row r="39" spans="3:7" ht="45" x14ac:dyDescent="0.25">
      <c r="C39" s="10" t="s">
        <v>233</v>
      </c>
      <c r="D39" s="10" t="s">
        <v>230</v>
      </c>
      <c r="E39" s="10" t="s">
        <v>234</v>
      </c>
      <c r="F39" s="10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opLeftCell="A24" workbookViewId="0">
      <selection activeCell="D42" sqref="D42"/>
    </sheetView>
  </sheetViews>
  <sheetFormatPr baseColWidth="10" defaultRowHeight="15" x14ac:dyDescent="0.25"/>
  <cols>
    <col min="2" max="2" width="16.85546875" bestFit="1" customWidth="1"/>
    <col min="3" max="3" width="12.140625" customWidth="1"/>
    <col min="4" max="4" width="20.140625" bestFit="1" customWidth="1"/>
    <col min="5" max="5" width="11.5703125" bestFit="1" customWidth="1"/>
  </cols>
  <sheetData>
    <row r="2" spans="2:9" ht="26.25" x14ac:dyDescent="0.4">
      <c r="B2" s="7" t="s">
        <v>45</v>
      </c>
      <c r="C2" s="7"/>
      <c r="D2" s="8"/>
      <c r="E2" s="8"/>
      <c r="F2" s="8"/>
    </row>
    <row r="5" spans="2:9" x14ac:dyDescent="0.25">
      <c r="B5" s="5" t="s">
        <v>47</v>
      </c>
      <c r="I5" s="5" t="s">
        <v>48</v>
      </c>
    </row>
    <row r="6" spans="2:9" x14ac:dyDescent="0.25">
      <c r="B6" t="s">
        <v>53</v>
      </c>
      <c r="C6" t="s">
        <v>62</v>
      </c>
      <c r="D6" t="s">
        <v>57</v>
      </c>
      <c r="E6" t="s">
        <v>37</v>
      </c>
    </row>
    <row r="7" spans="2:9" x14ac:dyDescent="0.25">
      <c r="B7" t="s">
        <v>58</v>
      </c>
      <c r="D7" t="s">
        <v>54</v>
      </c>
      <c r="E7">
        <v>2</v>
      </c>
    </row>
    <row r="8" spans="2:9" x14ac:dyDescent="0.25">
      <c r="B8" t="s">
        <v>59</v>
      </c>
      <c r="C8" t="s">
        <v>68</v>
      </c>
      <c r="D8" t="s">
        <v>55</v>
      </c>
      <c r="E8">
        <v>1</v>
      </c>
    </row>
    <row r="9" spans="2:9" x14ac:dyDescent="0.25">
      <c r="B9" t="s">
        <v>60</v>
      </c>
      <c r="C9" t="s">
        <v>67</v>
      </c>
      <c r="D9" t="s">
        <v>56</v>
      </c>
      <c r="E9">
        <v>1</v>
      </c>
    </row>
    <row r="10" spans="2:9" x14ac:dyDescent="0.25">
      <c r="B10" t="s">
        <v>61</v>
      </c>
      <c r="D10" t="s">
        <v>23</v>
      </c>
      <c r="E10">
        <v>1</v>
      </c>
      <c r="I10" s="5" t="s">
        <v>52</v>
      </c>
    </row>
    <row r="11" spans="2:9" x14ac:dyDescent="0.25">
      <c r="B11" s="5" t="s">
        <v>50</v>
      </c>
    </row>
    <row r="12" spans="2:9" x14ac:dyDescent="0.25">
      <c r="B12" t="s">
        <v>53</v>
      </c>
      <c r="C12" t="s">
        <v>62</v>
      </c>
      <c r="D12" t="s">
        <v>57</v>
      </c>
      <c r="E12" t="s">
        <v>37</v>
      </c>
    </row>
    <row r="13" spans="2:9" x14ac:dyDescent="0.25">
      <c r="B13" t="s">
        <v>58</v>
      </c>
      <c r="D13" t="s">
        <v>54</v>
      </c>
      <c r="E13">
        <v>2</v>
      </c>
    </row>
    <row r="14" spans="2:9" x14ac:dyDescent="0.25">
      <c r="B14" t="s">
        <v>59</v>
      </c>
      <c r="C14" t="s">
        <v>68</v>
      </c>
      <c r="D14" t="s">
        <v>55</v>
      </c>
      <c r="E14">
        <v>1</v>
      </c>
    </row>
    <row r="15" spans="2:9" x14ac:dyDescent="0.25">
      <c r="B15" t="s">
        <v>60</v>
      </c>
      <c r="C15" t="s">
        <v>67</v>
      </c>
      <c r="D15" t="s">
        <v>56</v>
      </c>
      <c r="E15">
        <v>1</v>
      </c>
    </row>
    <row r="16" spans="2:9" x14ac:dyDescent="0.25">
      <c r="B16" t="s">
        <v>61</v>
      </c>
      <c r="D16" t="s">
        <v>23</v>
      </c>
      <c r="E16">
        <v>1</v>
      </c>
    </row>
    <row r="17" spans="2:5" x14ac:dyDescent="0.25">
      <c r="B17" s="5" t="s">
        <v>51</v>
      </c>
    </row>
    <row r="18" spans="2:5" x14ac:dyDescent="0.25">
      <c r="B18" t="s">
        <v>53</v>
      </c>
      <c r="C18" t="s">
        <v>62</v>
      </c>
      <c r="D18" t="s">
        <v>57</v>
      </c>
      <c r="E18" t="s">
        <v>37</v>
      </c>
    </row>
    <row r="19" spans="2:5" x14ac:dyDescent="0.25">
      <c r="B19" t="s">
        <v>58</v>
      </c>
      <c r="D19" t="s">
        <v>54</v>
      </c>
      <c r="E19">
        <v>2</v>
      </c>
    </row>
    <row r="20" spans="2:5" x14ac:dyDescent="0.25">
      <c r="B20" t="s">
        <v>59</v>
      </c>
      <c r="C20" t="s">
        <v>68</v>
      </c>
      <c r="D20" t="s">
        <v>55</v>
      </c>
      <c r="E20">
        <v>1</v>
      </c>
    </row>
    <row r="21" spans="2:5" x14ac:dyDescent="0.25">
      <c r="B21" t="s">
        <v>60</v>
      </c>
      <c r="C21" t="s">
        <v>67</v>
      </c>
      <c r="D21" t="s">
        <v>56</v>
      </c>
      <c r="E21">
        <v>1</v>
      </c>
    </row>
    <row r="22" spans="2:5" x14ac:dyDescent="0.25">
      <c r="B22" t="s">
        <v>61</v>
      </c>
      <c r="D22" t="s">
        <v>23</v>
      </c>
      <c r="E22">
        <v>1</v>
      </c>
    </row>
    <row r="23" spans="2:5" x14ac:dyDescent="0.25">
      <c r="B23" s="5" t="s">
        <v>64</v>
      </c>
    </row>
    <row r="24" spans="2:5" x14ac:dyDescent="0.25">
      <c r="B24" t="s">
        <v>53</v>
      </c>
      <c r="C24" t="s">
        <v>62</v>
      </c>
      <c r="D24" t="s">
        <v>57</v>
      </c>
      <c r="E24" t="s">
        <v>37</v>
      </c>
    </row>
    <row r="25" spans="2:5" x14ac:dyDescent="0.25">
      <c r="B25" t="s">
        <v>65</v>
      </c>
      <c r="D25" t="s">
        <v>66</v>
      </c>
      <c r="E25">
        <v>1</v>
      </c>
    </row>
    <row r="26" spans="2:5" x14ac:dyDescent="0.25">
      <c r="B26" t="s">
        <v>60</v>
      </c>
      <c r="C26" t="s">
        <v>71</v>
      </c>
      <c r="D26" t="s">
        <v>82</v>
      </c>
      <c r="E26">
        <v>1</v>
      </c>
    </row>
    <row r="27" spans="2:5" x14ac:dyDescent="0.25">
      <c r="B27" t="s">
        <v>60</v>
      </c>
      <c r="C27" t="s">
        <v>69</v>
      </c>
      <c r="D27" t="s">
        <v>76</v>
      </c>
      <c r="E27">
        <v>1</v>
      </c>
    </row>
    <row r="28" spans="2:5" x14ac:dyDescent="0.25">
      <c r="B28" t="s">
        <v>60</v>
      </c>
      <c r="C28" t="s">
        <v>67</v>
      </c>
      <c r="D28" t="s">
        <v>56</v>
      </c>
      <c r="E28">
        <v>1</v>
      </c>
    </row>
    <row r="29" spans="2:5" x14ac:dyDescent="0.25">
      <c r="B29" t="s">
        <v>60</v>
      </c>
      <c r="C29" t="s">
        <v>73</v>
      </c>
      <c r="D29" t="s">
        <v>72</v>
      </c>
      <c r="E29">
        <v>2</v>
      </c>
    </row>
    <row r="30" spans="2:5" x14ac:dyDescent="0.25">
      <c r="B30" t="s">
        <v>59</v>
      </c>
      <c r="C30" t="s">
        <v>79</v>
      </c>
      <c r="D30" t="s">
        <v>80</v>
      </c>
      <c r="E30">
        <v>2</v>
      </c>
    </row>
    <row r="31" spans="2:5" x14ac:dyDescent="0.25">
      <c r="B31" t="s">
        <v>59</v>
      </c>
      <c r="C31" t="s">
        <v>87</v>
      </c>
      <c r="D31" t="s">
        <v>85</v>
      </c>
      <c r="E31">
        <v>3</v>
      </c>
    </row>
    <row r="32" spans="2:5" x14ac:dyDescent="0.25">
      <c r="B32" t="s">
        <v>60</v>
      </c>
      <c r="C32" t="s">
        <v>86</v>
      </c>
      <c r="D32" t="s">
        <v>84</v>
      </c>
      <c r="E32">
        <v>3</v>
      </c>
    </row>
    <row r="33" spans="2:5" x14ac:dyDescent="0.25">
      <c r="B33" s="5" t="s">
        <v>49</v>
      </c>
    </row>
    <row r="34" spans="2:5" x14ac:dyDescent="0.25">
      <c r="B34" t="s">
        <v>53</v>
      </c>
      <c r="C34" t="s">
        <v>62</v>
      </c>
      <c r="D34" t="s">
        <v>57</v>
      </c>
      <c r="E34" t="s">
        <v>37</v>
      </c>
    </row>
    <row r="35" spans="2:5" x14ac:dyDescent="0.25">
      <c r="B35" t="s">
        <v>60</v>
      </c>
      <c r="C35" t="s">
        <v>88</v>
      </c>
      <c r="D35" t="s">
        <v>78</v>
      </c>
      <c r="E35">
        <v>12</v>
      </c>
    </row>
    <row r="36" spans="2:5" x14ac:dyDescent="0.25">
      <c r="B36" s="5" t="s">
        <v>46</v>
      </c>
    </row>
    <row r="37" spans="2:5" x14ac:dyDescent="0.25">
      <c r="B37" t="s">
        <v>60</v>
      </c>
      <c r="C37" t="s">
        <v>99</v>
      </c>
      <c r="D37" t="s">
        <v>101</v>
      </c>
      <c r="E37">
        <v>5</v>
      </c>
    </row>
    <row r="38" spans="2:5" x14ac:dyDescent="0.25">
      <c r="B38" t="s">
        <v>60</v>
      </c>
      <c r="C38" t="s">
        <v>73</v>
      </c>
      <c r="D38" t="s">
        <v>103</v>
      </c>
      <c r="E38">
        <v>1</v>
      </c>
    </row>
    <row r="39" spans="2:5" x14ac:dyDescent="0.25">
      <c r="B39" t="s">
        <v>60</v>
      </c>
      <c r="C39" t="s">
        <v>100</v>
      </c>
      <c r="D39" t="s">
        <v>104</v>
      </c>
      <c r="E39">
        <v>1</v>
      </c>
    </row>
    <row r="40" spans="2:5" x14ac:dyDescent="0.25">
      <c r="B40" t="s">
        <v>60</v>
      </c>
      <c r="C40" t="s">
        <v>98</v>
      </c>
      <c r="D40" t="s">
        <v>96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Revision Componentes</vt:lpstr>
      <vt:lpstr>Hoja1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2025-11-13T21:05:44Z</dcterms:modified>
</cp:coreProperties>
</file>