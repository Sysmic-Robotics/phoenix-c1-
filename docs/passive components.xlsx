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400" documentId="13_ncr:1_{F7354992-1F78-49E8-A4B3-E60DEAC47D86}" xr6:coauthVersionLast="47" xr6:coauthVersionMax="47" xr10:uidLastSave="{876206C4-3322-4CF9-8CEB-7A5A5BEA836D}"/>
  <bookViews>
    <workbookView xWindow="-108" yWindow="-108" windowWidth="23256" windowHeight="12456" activeTab="1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1" l="1"/>
  <c r="V25" i="1" s="1"/>
  <c r="U26" i="1"/>
  <c r="V26" i="1" s="1"/>
  <c r="U27" i="1"/>
  <c r="V27" i="1" s="1"/>
  <c r="S16" i="1"/>
  <c r="S12" i="1"/>
  <c r="S13" i="1"/>
  <c r="S14" i="1"/>
  <c r="S9" i="1"/>
  <c r="S24" i="1"/>
  <c r="S23" i="1"/>
  <c r="S22" i="1"/>
  <c r="S18" i="1"/>
  <c r="S17" i="1"/>
  <c r="S11" i="1"/>
  <c r="S10" i="1"/>
  <c r="S6" i="1"/>
  <c r="S20" i="1"/>
  <c r="S7" i="1"/>
  <c r="S15" i="1"/>
  <c r="S19" i="1"/>
  <c r="S8" i="1"/>
  <c r="R8" i="1"/>
  <c r="U8" i="1" s="1"/>
  <c r="V8" i="1" s="1"/>
  <c r="R12" i="1"/>
  <c r="U12" i="1" s="1"/>
  <c r="V12" i="1" s="1"/>
  <c r="R14" i="1"/>
  <c r="U14" i="1" s="1"/>
  <c r="V14" i="1" s="1"/>
  <c r="R18" i="1"/>
  <c r="U18" i="1" s="1"/>
  <c r="V18" i="1" s="1"/>
  <c r="R19" i="1"/>
  <c r="U19" i="1" s="1"/>
  <c r="V19" i="1" s="1"/>
  <c r="R13" i="1"/>
  <c r="U13" i="1" s="1"/>
  <c r="V13" i="1" s="1"/>
  <c r="R15" i="1"/>
  <c r="U15" i="1" s="1"/>
  <c r="V15" i="1" s="1"/>
  <c r="R10" i="1"/>
  <c r="U10" i="1" s="1"/>
  <c r="V10" i="1" s="1"/>
  <c r="R21" i="1"/>
  <c r="U21" i="1" s="1"/>
  <c r="V21" i="1" s="1"/>
  <c r="R7" i="1"/>
  <c r="U7" i="1" s="1"/>
  <c r="V7" i="1" s="1"/>
  <c r="R20" i="1"/>
  <c r="U20" i="1" s="1"/>
  <c r="V20" i="1" s="1"/>
  <c r="R6" i="1"/>
  <c r="U6" i="1" s="1"/>
  <c r="V6" i="1" s="1"/>
  <c r="R22" i="1"/>
  <c r="U22" i="1" s="1"/>
  <c r="V22" i="1" s="1"/>
  <c r="U9" i="1"/>
  <c r="V9" i="1" s="1"/>
  <c r="R23" i="1"/>
  <c r="U23" i="1" s="1"/>
  <c r="V23" i="1" s="1"/>
  <c r="R24" i="1"/>
  <c r="U24" i="1" s="1"/>
  <c r="V24" i="1" s="1"/>
  <c r="U16" i="1"/>
  <c r="V16" i="1" s="1"/>
  <c r="R11" i="1"/>
  <c r="U11" i="1" s="1"/>
  <c r="V11" i="1" s="1"/>
  <c r="R17" i="1"/>
  <c r="U17" i="1" s="1"/>
  <c r="V17" i="1" s="1"/>
  <c r="U28" i="1"/>
  <c r="V28" i="1" s="1"/>
  <c r="V3" i="1" l="1"/>
  <c r="U3" i="1"/>
</calcChain>
</file>

<file path=xl/sharedStrings.xml><?xml version="1.0" encoding="utf-8"?>
<sst xmlns="http://schemas.openxmlformats.org/spreadsheetml/2006/main" count="219" uniqueCount="108">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</sst>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V29" totalsRowCount="1">
  <autoFilter ref="N5:V28" xr:uid="{B1B482A5-D867-462B-9A42-5E02AF1BC0EA}"/>
  <tableColumns count="9">
    <tableColumn id="1" xr3:uid="{2A8164C2-2FB7-4C23-97F1-2EB7091D5D63}" name="COMPONENTES"/>
    <tableColumn id="9" xr3:uid="{916D2FE0-85EB-46DA-9799-D85CA8D5156F}" name="Part Number"/>
    <tableColumn id="8" xr3:uid="{B1046C3A-A1F3-421E-9436-C5BB3C6B237A}" name="Altium"/>
    <tableColumn id="7" xr3:uid="{ADE89E6D-F7FC-45CE-A5CB-99276119FEF7}" name="D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U2:V3" totalsRowShown="0">
  <autoFilter ref="U2:V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l/ProductDetail/YAGEO/AF0402JR-072KL?qs=sGAEpiMZZMtlubZbdhIBIIzXXd8RXMQ1A4VeykjrMVQ%3D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V29"/>
  <sheetViews>
    <sheetView topLeftCell="F7" zoomScale="85" zoomScaleNormal="85" workbookViewId="0">
      <selection activeCell="O27" sqref="O27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4" width="17.44140625" customWidth="1"/>
    <col min="15" max="15" width="21.44140625" bestFit="1" customWidth="1"/>
    <col min="16" max="16" width="9.44140625" bestFit="1" customWidth="1"/>
    <col min="17" max="17" width="5.109375" bestFit="1" customWidth="1"/>
    <col min="18" max="18" width="11.21875" bestFit="1" customWidth="1"/>
    <col min="19" max="19" width="8.88671875" customWidth="1"/>
    <col min="20" max="20" width="20.109375" customWidth="1"/>
    <col min="21" max="21" width="13.5546875" customWidth="1"/>
    <col min="22" max="22" width="14.6640625" customWidth="1"/>
  </cols>
  <sheetData>
    <row r="2" spans="1:22" x14ac:dyDescent="0.3">
      <c r="U2" t="s">
        <v>39</v>
      </c>
      <c r="V2" t="s">
        <v>44</v>
      </c>
    </row>
    <row r="3" spans="1:22" x14ac:dyDescent="0.3">
      <c r="A3" t="s">
        <v>0</v>
      </c>
      <c r="U3">
        <f>SUM(Tabla2[CantX$(USD)])</f>
        <v>36.869999999999997</v>
      </c>
      <c r="V3">
        <f>ROUND(SUM(Tabla2[CantX$(CLP)]),0)</f>
        <v>34727</v>
      </c>
    </row>
    <row r="4" spans="1:22" x14ac:dyDescent="0.3">
      <c r="A4" t="s">
        <v>1</v>
      </c>
    </row>
    <row r="5" spans="1:22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77</v>
      </c>
      <c r="P5" t="s">
        <v>70</v>
      </c>
      <c r="Q5" t="s">
        <v>61</v>
      </c>
      <c r="R5" t="s">
        <v>37</v>
      </c>
      <c r="S5" t="s">
        <v>38</v>
      </c>
      <c r="T5" t="s">
        <v>41</v>
      </c>
      <c r="U5" t="s">
        <v>42</v>
      </c>
      <c r="V5" t="s">
        <v>43</v>
      </c>
    </row>
    <row r="6" spans="1:22" x14ac:dyDescent="0.3">
      <c r="A6" t="s">
        <v>4</v>
      </c>
      <c r="E6" t="s">
        <v>14</v>
      </c>
      <c r="F6">
        <v>1</v>
      </c>
      <c r="N6" t="s">
        <v>23</v>
      </c>
      <c r="O6" t="s">
        <v>23</v>
      </c>
      <c r="P6" t="s">
        <v>63</v>
      </c>
      <c r="R6">
        <f>SUM(Tabla1[[#This Row],[Power Input(MAX15062AATA+T )]:[AS5600 ASOM]])</f>
        <v>1</v>
      </c>
      <c r="S6" s="1" t="str">
        <f>HYPERLINK("https://mou.sr/42XoOiu","Mouser")</f>
        <v>Mouser</v>
      </c>
      <c r="T6">
        <v>0.34</v>
      </c>
      <c r="U6">
        <f>PRODUCT(Tabla2[[#This Row],[Cantidad]],Tabla2[[#This Row],[Precio unitario(USD)]])</f>
        <v>0.34</v>
      </c>
      <c r="V6">
        <f>PRODUCT(Tabla2[[#This Row],[CantX$(USD)]],941.85)</f>
        <v>320.22900000000004</v>
      </c>
    </row>
    <row r="7" spans="1:22" x14ac:dyDescent="0.3">
      <c r="A7" t="s">
        <v>5</v>
      </c>
      <c r="E7" t="s">
        <v>15</v>
      </c>
      <c r="F7">
        <v>1</v>
      </c>
      <c r="N7" t="s">
        <v>20</v>
      </c>
      <c r="O7" t="s">
        <v>20</v>
      </c>
      <c r="P7" t="s">
        <v>63</v>
      </c>
      <c r="R7">
        <f>SUM(Tabla1[[#This Row],[Power Input(MAX15062AATA+T )]:[AS5600 ASOM]])</f>
        <v>1</v>
      </c>
      <c r="S7" s="1" t="str">
        <f>HYPERLINK("https://mou.sr/3Jxp5Cd","Mouser")</f>
        <v>Mouser</v>
      </c>
      <c r="T7">
        <v>1.1100000000000001</v>
      </c>
      <c r="U7">
        <f>PRODUCT(Tabla2[[#This Row],[Cantidad]],Tabla2[[#This Row],[Precio unitario(USD)]])</f>
        <v>1.1100000000000001</v>
      </c>
      <c r="V7">
        <f>PRODUCT(Tabla2[[#This Row],[CantX$(USD)]],941.85)</f>
        <v>1045.4535000000001</v>
      </c>
    </row>
    <row r="8" spans="1:22" x14ac:dyDescent="0.3">
      <c r="A8" t="s">
        <v>6</v>
      </c>
      <c r="E8" t="s">
        <v>16</v>
      </c>
      <c r="F8">
        <v>2</v>
      </c>
      <c r="G8">
        <v>2</v>
      </c>
      <c r="N8" t="s">
        <v>14</v>
      </c>
      <c r="O8" t="s">
        <v>14</v>
      </c>
      <c r="P8" t="s">
        <v>63</v>
      </c>
      <c r="R8">
        <f>SUM(Tabla1[[#This Row],[Power Input(MAX15062AATA+T )]:[AS5600 ASOM]])</f>
        <v>4</v>
      </c>
      <c r="S8" s="1" t="str">
        <f>HYPERLINK("https://octopart.com/es/xt60pw-m-amass-118051292","Octopart")</f>
        <v>Octopart</v>
      </c>
      <c r="T8">
        <v>0.9</v>
      </c>
      <c r="U8">
        <f>PRODUCT(Tabla2[[#This Row],[Cantidad]],Tabla2[[#This Row],[Precio unitario(USD)]])</f>
        <v>3.6</v>
      </c>
      <c r="V8">
        <f>PRODUCT(Tabla2[[#This Row],[CantX$(USD)]],942)</f>
        <v>3391.2000000000003</v>
      </c>
    </row>
    <row r="9" spans="1:22" x14ac:dyDescent="0.3">
      <c r="A9" t="s">
        <v>7</v>
      </c>
      <c r="E9" t="s">
        <v>35</v>
      </c>
      <c r="F9">
        <v>1</v>
      </c>
      <c r="N9" t="s">
        <v>83</v>
      </c>
      <c r="O9" t="s">
        <v>84</v>
      </c>
      <c r="P9" t="s">
        <v>63</v>
      </c>
      <c r="R9">
        <v>3</v>
      </c>
      <c r="S9" s="1" t="str">
        <f>HYPERLINK("https://mou.sr/47cPcHL","Mouser")</f>
        <v>Mouser</v>
      </c>
      <c r="T9">
        <v>0.1</v>
      </c>
      <c r="U9">
        <f>PRODUCT(Tabla2[[#This Row],[Cantidad]],Tabla2[[#This Row],[Precio unitario(USD)]])</f>
        <v>0.30000000000000004</v>
      </c>
      <c r="V9">
        <f>PRODUCT(Tabla2[[#This Row],[CantX$(USD)]],941.85)</f>
        <v>282.55500000000006</v>
      </c>
    </row>
    <row r="10" spans="1:22" x14ac:dyDescent="0.3">
      <c r="A10" t="s">
        <v>8</v>
      </c>
      <c r="E10" t="s">
        <v>36</v>
      </c>
      <c r="F10">
        <v>1</v>
      </c>
      <c r="N10" t="s">
        <v>19</v>
      </c>
      <c r="O10" t="s">
        <v>82</v>
      </c>
      <c r="P10" t="s">
        <v>63</v>
      </c>
      <c r="R10">
        <f>SUM(Tabla1[[#This Row],[Power Input(MAX15062AATA+T )]:[AS5600 ASOM]])</f>
        <v>1</v>
      </c>
      <c r="S10" s="1" t="str">
        <f>HYPERLINK("https://mou.sr/47aSprm","Mouser")</f>
        <v>Mouser</v>
      </c>
      <c r="T10">
        <v>0.44</v>
      </c>
      <c r="U10">
        <f>PRODUCT(Tabla2[[#This Row],[Cantidad]],Tabla2[[#This Row],[Precio unitario(USD)]])</f>
        <v>0.44</v>
      </c>
      <c r="V10">
        <f>PRODUCT(Tabla2[[#This Row],[CantX$(USD)]],941.85)</f>
        <v>414.41399999999999</v>
      </c>
    </row>
    <row r="11" spans="1:22" x14ac:dyDescent="0.3">
      <c r="E11" t="s">
        <v>17</v>
      </c>
      <c r="G11">
        <v>1</v>
      </c>
      <c r="N11" t="s">
        <v>31</v>
      </c>
      <c r="O11" t="s">
        <v>95</v>
      </c>
      <c r="P11" t="s">
        <v>63</v>
      </c>
      <c r="R11">
        <f>SUM(Tabla1[[#This Row],[Power Input(MAX15062AATA+T )]:[AS5600 ASOM]])</f>
        <v>1</v>
      </c>
      <c r="S11" s="2" t="str">
        <f>HYPERLINK("https://mou.sr/4owREP0","Mouser")</f>
        <v>Mouser</v>
      </c>
      <c r="T11">
        <v>0.1</v>
      </c>
      <c r="U11">
        <f>PRODUCT(Tabla2[[#This Row],[Cantidad]],Tabla2[[#This Row],[Precio unitario(USD)]])</f>
        <v>0.1</v>
      </c>
      <c r="V11">
        <f>PRODUCT(Tabla2[[#This Row],[CantX$(USD)]],941.85)</f>
        <v>94.185000000000002</v>
      </c>
    </row>
    <row r="12" spans="1:22" x14ac:dyDescent="0.3">
      <c r="E12" t="s">
        <v>18</v>
      </c>
      <c r="G12">
        <v>1</v>
      </c>
      <c r="H12">
        <v>3</v>
      </c>
      <c r="N12" t="s">
        <v>15</v>
      </c>
      <c r="O12" t="s">
        <v>75</v>
      </c>
      <c r="P12" t="s">
        <v>63</v>
      </c>
      <c r="R12">
        <f>SUM(Tabla1[[#This Row],[Power Input(MAX15062AATA+T )]:[AS5600 ASOM]])</f>
        <v>4</v>
      </c>
      <c r="S12" s="1" t="str">
        <f>HYPERLINK("https://mou.sr/4oCNLrW","Mouser")</f>
        <v>Mouser</v>
      </c>
      <c r="T12">
        <v>0.42</v>
      </c>
      <c r="U12">
        <f>PRODUCT(Tabla2[[#This Row],[Cantidad]],Tabla2[[#This Row],[Precio unitario(USD)]])</f>
        <v>1.68</v>
      </c>
      <c r="V12">
        <f>PRODUCT(Tabla2[[#This Row],[CantX$(USD)]],941.85)</f>
        <v>1582.308</v>
      </c>
    </row>
    <row r="13" spans="1:22" x14ac:dyDescent="0.3">
      <c r="E13" t="s">
        <v>19</v>
      </c>
      <c r="G13">
        <v>1</v>
      </c>
      <c r="N13" t="s">
        <v>17</v>
      </c>
      <c r="O13" t="s">
        <v>76</v>
      </c>
      <c r="P13" t="s">
        <v>63</v>
      </c>
      <c r="R13">
        <f>SUM(Tabla1[[#This Row],[Power Input(MAX15062AATA+T )]:[AS5600 ASOM]])</f>
        <v>1</v>
      </c>
      <c r="S13" s="1" t="str">
        <f>HYPERLINK("https://mou.sr/43ubkLk","Mouser")</f>
        <v>Mouser</v>
      </c>
      <c r="T13">
        <v>0.24</v>
      </c>
      <c r="U13">
        <f>PRODUCT(Tabla2[[#This Row],[Cantidad]],Tabla2[[#This Row],[Precio unitario(USD)]])</f>
        <v>0.24</v>
      </c>
      <c r="V13">
        <f>PRODUCT(Tabla2[[#This Row],[CantX$(USD)]],941.85)</f>
        <v>226.04400000000001</v>
      </c>
    </row>
    <row r="14" spans="1:22" x14ac:dyDescent="0.3">
      <c r="E14" t="s">
        <v>22</v>
      </c>
      <c r="G14">
        <v>2</v>
      </c>
      <c r="N14" t="s">
        <v>74</v>
      </c>
      <c r="O14" t="s">
        <v>72</v>
      </c>
      <c r="P14" t="s">
        <v>63</v>
      </c>
      <c r="R14">
        <f>SUM(Tabla1[[#This Row],[Power Input(MAX15062AATA+T )]:[AS5600 ASOM]])</f>
        <v>2</v>
      </c>
      <c r="S14" s="1" t="str">
        <f>HYPERLINK("https://mou.sr/3JzqjNg","Mouser")</f>
        <v>Mouser</v>
      </c>
      <c r="T14">
        <v>0.34</v>
      </c>
      <c r="U14">
        <f>PRODUCT(Tabla2[[#This Row],[Cantidad]],Tabla2[[#This Row],[Precio unitario(USD)]])</f>
        <v>0.68</v>
      </c>
      <c r="V14">
        <f>PRODUCT(Tabla2[[#This Row],[CantX$(USD)]],941.85)</f>
        <v>640.45800000000008</v>
      </c>
    </row>
    <row r="15" spans="1:22" x14ac:dyDescent="0.3">
      <c r="E15" t="s">
        <v>20</v>
      </c>
      <c r="H15">
        <v>6</v>
      </c>
      <c r="N15" t="s">
        <v>18</v>
      </c>
      <c r="O15" t="s">
        <v>56</v>
      </c>
      <c r="P15" t="s">
        <v>63</v>
      </c>
      <c r="R15">
        <f>SUM(Tabla1[[#This Row],[Power Input(MAX15062AATA+T )]:[AS5600 ASOM]])</f>
        <v>6</v>
      </c>
      <c r="S15" s="1" t="str">
        <f>HYPERLINK("https://mou.sr/47GKd25","Mouser")</f>
        <v>Mouser</v>
      </c>
      <c r="T15">
        <v>0.16</v>
      </c>
      <c r="U15">
        <f>PRODUCT(Tabla2[[#This Row],[Cantidad]],Tabla2[[#This Row],[Precio unitario(USD)]])</f>
        <v>0.96</v>
      </c>
      <c r="V15">
        <f>PRODUCT(Tabla2[[#This Row],[CantX$(USD)]],941.85)</f>
        <v>904.17600000000004</v>
      </c>
    </row>
    <row r="16" spans="1:22" x14ac:dyDescent="0.3">
      <c r="E16" t="s">
        <v>21</v>
      </c>
      <c r="H16">
        <v>3</v>
      </c>
      <c r="N16" t="s">
        <v>29</v>
      </c>
      <c r="O16" t="s">
        <v>78</v>
      </c>
      <c r="P16" t="s">
        <v>63</v>
      </c>
      <c r="R16">
        <v>12</v>
      </c>
      <c r="S16" s="1" t="str">
        <f>HYPERLINK("https://mou.sr/3WUpj9x","Mouser")</f>
        <v>Mouser</v>
      </c>
      <c r="T16">
        <v>0.8</v>
      </c>
      <c r="U16">
        <f>PRODUCT(Tabla2[[#This Row],[Cantidad]],Tabla2[[#This Row],[Precio unitario(USD)]])</f>
        <v>9.6000000000000014</v>
      </c>
      <c r="V16">
        <f>PRODUCT(Tabla2[[#This Row],[CantX$(USD)]],941.85)</f>
        <v>9041.760000000002</v>
      </c>
    </row>
    <row r="17" spans="5:22" x14ac:dyDescent="0.3">
      <c r="E17" t="s">
        <v>23</v>
      </c>
      <c r="H17">
        <v>3</v>
      </c>
      <c r="N17" t="s">
        <v>32</v>
      </c>
      <c r="O17" t="s">
        <v>96</v>
      </c>
      <c r="P17" t="s">
        <v>63</v>
      </c>
      <c r="R17">
        <f>SUM(Tabla1[[#This Row],[Power Input(MAX15062AATA+T )]:[AS5600 ASOM]])</f>
        <v>3</v>
      </c>
      <c r="S17" s="2" t="str">
        <f>HYPERLINK("https://mou.sr/4qt9N1T","Mouser")</f>
        <v>Mouser</v>
      </c>
      <c r="T17">
        <v>0.1</v>
      </c>
      <c r="U17">
        <f>PRODUCT(Tabla2[[#This Row],[Cantidad]],Tabla2[[#This Row],[Precio unitario(USD)]])</f>
        <v>0.30000000000000004</v>
      </c>
      <c r="V17">
        <f>PRODUCT(Tabla2[[#This Row],[CantX$(USD)]],941.85)</f>
        <v>282.55500000000006</v>
      </c>
    </row>
    <row r="18" spans="5:22" x14ac:dyDescent="0.3">
      <c r="E18" t="s">
        <v>24</v>
      </c>
      <c r="I18">
        <v>3</v>
      </c>
      <c r="N18" t="s">
        <v>94</v>
      </c>
      <c r="O18" t="s">
        <v>93</v>
      </c>
      <c r="P18" t="s">
        <v>63</v>
      </c>
      <c r="R18">
        <f>SUM(Tabla1[[#This Row],[Power Input(MAX15062AATA+T )]:[AS5600 ASOM]])</f>
        <v>3</v>
      </c>
      <c r="S18" s="1" t="str">
        <f>HYPERLINK("https://mou.sr/4qpAEMl","Mouser")</f>
        <v>Mouser</v>
      </c>
      <c r="T18" s="4">
        <v>1.59</v>
      </c>
      <c r="U18">
        <f>PRODUCT(Tabla2[[#This Row],[Cantidad]],Tabla2[[#This Row],[Precio unitario(USD)]])</f>
        <v>4.7700000000000005</v>
      </c>
      <c r="V18">
        <f>PRODUCT(Tabla2[[#This Row],[CantX$(USD)]],941.85)</f>
        <v>4492.6245000000008</v>
      </c>
    </row>
    <row r="19" spans="5:22" x14ac:dyDescent="0.3">
      <c r="E19" t="s">
        <v>25</v>
      </c>
      <c r="I19">
        <v>3</v>
      </c>
      <c r="N19" t="s">
        <v>36</v>
      </c>
      <c r="O19" t="s">
        <v>97</v>
      </c>
      <c r="P19" t="s">
        <v>63</v>
      </c>
      <c r="R19">
        <f>SUM(Tabla1[[#This Row],[Power Input(MAX15062AATA+T )]:[AS5600 ASOM]])</f>
        <v>3</v>
      </c>
      <c r="S19" s="1" t="str">
        <f>HYPERLINK("https://mou.sr/3Wle1em","Mouser")</f>
        <v>Mouser</v>
      </c>
      <c r="T19">
        <v>0.34</v>
      </c>
      <c r="U19">
        <f>PRODUCT(Tabla2[[#This Row],[Cantidad]],Tabla2[[#This Row],[Precio unitario(USD)]])</f>
        <v>1.02</v>
      </c>
      <c r="V19">
        <f>PRODUCT(Tabla2[[#This Row],[CantX$(USD)]],941.85)</f>
        <v>960.68700000000001</v>
      </c>
    </row>
    <row r="20" spans="5:22" x14ac:dyDescent="0.3">
      <c r="E20" t="s">
        <v>26</v>
      </c>
      <c r="J20">
        <v>2</v>
      </c>
      <c r="N20" t="s">
        <v>21</v>
      </c>
      <c r="O20" t="s">
        <v>55</v>
      </c>
      <c r="P20" t="s">
        <v>63</v>
      </c>
      <c r="R20">
        <f>SUM(Tabla1[[#This Row],[Power Input(MAX15062AATA+T )]:[AS5600 ASOM]])</f>
        <v>2</v>
      </c>
      <c r="S20" s="1" t="str">
        <f>HYPERLINK("https://mou.sr/47oFwIR","Mouser")</f>
        <v>Mouser</v>
      </c>
      <c r="T20">
        <v>0.6</v>
      </c>
      <c r="U20">
        <f>PRODUCT(Tabla2[[#This Row],[Cantidad]],Tabla2[[#This Row],[Precio unitario(USD)]])</f>
        <v>1.2</v>
      </c>
      <c r="V20">
        <f>PRODUCT(Tabla2[[#This Row],[CantX$(USD)]],941.85)</f>
        <v>1130.22</v>
      </c>
    </row>
    <row r="21" spans="5:22" x14ac:dyDescent="0.3">
      <c r="E21" t="s">
        <v>27</v>
      </c>
      <c r="J21">
        <v>2</v>
      </c>
      <c r="N21" t="s">
        <v>22</v>
      </c>
      <c r="O21" t="s">
        <v>80</v>
      </c>
      <c r="P21" t="s">
        <v>63</v>
      </c>
      <c r="R21">
        <f>SUM(Tabla1[[#This Row],[Power Input(MAX15062AATA+T )]:[AS5600 ASOM]])</f>
        <v>2</v>
      </c>
      <c r="S21" s="2" t="s">
        <v>81</v>
      </c>
      <c r="T21">
        <v>0.18</v>
      </c>
      <c r="U21">
        <f>PRODUCT(Tabla2[[#This Row],[Cantidad]],Tabla2[[#This Row],[Precio unitario(USD)]])</f>
        <v>0.36</v>
      </c>
      <c r="V21">
        <f>PRODUCT(Tabla2[[#This Row],[CantX$(USD)]],941.85)</f>
        <v>339.06599999999997</v>
      </c>
    </row>
    <row r="22" spans="5:22" x14ac:dyDescent="0.3">
      <c r="E22" t="s">
        <v>29</v>
      </c>
      <c r="K22">
        <v>12</v>
      </c>
      <c r="N22" t="s">
        <v>24</v>
      </c>
      <c r="O22" t="s">
        <v>85</v>
      </c>
      <c r="P22" t="s">
        <v>63</v>
      </c>
      <c r="R22">
        <f>SUM(Tabla1[[#This Row],[Power Input(MAX15062AATA+T )]:[AS5600 ASOM]])</f>
        <v>12</v>
      </c>
      <c r="S22" s="1" t="str">
        <f>HYPERLINK("https://mou.sr/47bBWDf","Mouser")</f>
        <v>Mouser</v>
      </c>
      <c r="T22">
        <v>0.15</v>
      </c>
      <c r="U22">
        <f>PRODUCT(Tabla2[[#This Row],[Cantidad]],Tabla2[[#This Row],[Precio unitario(USD)]])</f>
        <v>1.7999999999999998</v>
      </c>
      <c r="V22">
        <f>PRODUCT(Tabla2[[#This Row],[CantX$(USD)]],941.85)</f>
        <v>1695.33</v>
      </c>
    </row>
    <row r="23" spans="5:22" x14ac:dyDescent="0.3">
      <c r="E23" t="s">
        <v>31</v>
      </c>
      <c r="L23">
        <v>1</v>
      </c>
      <c r="N23" t="s">
        <v>26</v>
      </c>
      <c r="O23" t="s">
        <v>89</v>
      </c>
      <c r="P23" t="s">
        <v>63</v>
      </c>
      <c r="R23">
        <f>SUM(Tabla1[[#This Row],[Power Input(MAX15062AATA+T )]:[AS5600 ASOM]])</f>
        <v>1</v>
      </c>
      <c r="S23" s="1" t="str">
        <f>HYPERLINK("https://mou.sr/48K3Qr8","Mouser")</f>
        <v>Mouser</v>
      </c>
      <c r="T23">
        <v>0.23</v>
      </c>
      <c r="U23">
        <f>PRODUCT(Tabla2[[#This Row],[Cantidad]],Tabla2[[#This Row],[Precio unitario(USD)]])</f>
        <v>0.23</v>
      </c>
      <c r="V23">
        <f>PRODUCT(Tabla2[[#This Row],[CantX$(USD)]],941.85)</f>
        <v>216.62550000000002</v>
      </c>
    </row>
    <row r="24" spans="5:22" x14ac:dyDescent="0.3">
      <c r="E24" t="s">
        <v>32</v>
      </c>
      <c r="F24">
        <v>1</v>
      </c>
      <c r="L24">
        <v>1</v>
      </c>
      <c r="N24" t="s">
        <v>40</v>
      </c>
      <c r="O24" t="s">
        <v>90</v>
      </c>
      <c r="P24" t="s">
        <v>63</v>
      </c>
      <c r="R24">
        <f>SUM(Tabla1[[#This Row],[Power Input(MAX15062AATA+T )]:[AS5600 ASOM]])</f>
        <v>2</v>
      </c>
      <c r="S24" s="1" t="str">
        <f>HYPERLINK("https://mou.sr/47slRYu","Mouser")</f>
        <v>Mouser</v>
      </c>
      <c r="T24">
        <v>0.41</v>
      </c>
      <c r="U24">
        <f>PRODUCT(Tabla2[[#This Row],[Cantidad]],Tabla2[[#This Row],[Precio unitario(USD)]])</f>
        <v>0.82</v>
      </c>
      <c r="V24">
        <f>PRODUCT(Tabla2[[#This Row],[CantX$(USD)]],941.85)</f>
        <v>772.31700000000001</v>
      </c>
    </row>
    <row r="25" spans="5:22" x14ac:dyDescent="0.3">
      <c r="E25" t="s">
        <v>33</v>
      </c>
      <c r="L25">
        <v>2</v>
      </c>
      <c r="N25" t="s">
        <v>102</v>
      </c>
      <c r="O25" t="s">
        <v>101</v>
      </c>
      <c r="P25" t="s">
        <v>63</v>
      </c>
      <c r="R25">
        <v>5</v>
      </c>
      <c r="S25" s="1" t="s">
        <v>105</v>
      </c>
      <c r="U25">
        <f>PRODUCT(Tabla2[[#This Row],[Cantidad]],Tabla2[[#This Row],[Precio unitario(USD)]])</f>
        <v>5</v>
      </c>
      <c r="V25">
        <f>PRODUCT(Tabla2[[#This Row],[CantX$(USD)]],941.85)</f>
        <v>4709.25</v>
      </c>
    </row>
    <row r="26" spans="5:22" x14ac:dyDescent="0.3">
      <c r="N26" t="s">
        <v>73</v>
      </c>
      <c r="O26" t="s">
        <v>103</v>
      </c>
      <c r="P26" t="s">
        <v>63</v>
      </c>
      <c r="R26">
        <v>1</v>
      </c>
      <c r="S26" s="1" t="s">
        <v>106</v>
      </c>
      <c r="U26">
        <f>PRODUCT(Tabla2[[#This Row],[Cantidad]],Tabla2[[#This Row],[Precio unitario(USD)]])</f>
        <v>1</v>
      </c>
      <c r="V26">
        <f>PRODUCT(Tabla2[[#This Row],[CantX$(USD)]],941.85)</f>
        <v>941.85</v>
      </c>
    </row>
    <row r="27" spans="5:22" x14ac:dyDescent="0.3">
      <c r="N27" t="s">
        <v>100</v>
      </c>
      <c r="O27" t="s">
        <v>104</v>
      </c>
      <c r="P27" t="s">
        <v>63</v>
      </c>
      <c r="R27">
        <v>1</v>
      </c>
      <c r="S27" s="1" t="s">
        <v>107</v>
      </c>
      <c r="U27">
        <f>PRODUCT(Tabla2[[#This Row],[Cantidad]],Tabla2[[#This Row],[Precio unitario(USD)]])</f>
        <v>1</v>
      </c>
      <c r="V27">
        <f>PRODUCT(Tabla2[[#This Row],[CantX$(USD)]],941.85)</f>
        <v>941.85</v>
      </c>
    </row>
    <row r="28" spans="5:22" x14ac:dyDescent="0.3">
      <c r="N28" t="s">
        <v>33</v>
      </c>
      <c r="O28" s="4" t="s">
        <v>91</v>
      </c>
      <c r="P28" t="s">
        <v>63</v>
      </c>
      <c r="R28">
        <v>1</v>
      </c>
      <c r="S28" s="1" t="s">
        <v>92</v>
      </c>
      <c r="T28">
        <v>0.32</v>
      </c>
      <c r="U28">
        <f>PRODUCT(Tabla2[[#This Row],[Cantidad]],Tabla2[[#This Row],[Precio unitario(USD)]])</f>
        <v>0.32</v>
      </c>
      <c r="V28">
        <f>PRODUCT(Tabla2[[#This Row],[CantX$(USD)]],941.85)</f>
        <v>301.392</v>
      </c>
    </row>
    <row r="29" spans="5:22" x14ac:dyDescent="0.3">
      <c r="R29" s="6"/>
      <c r="V29" s="3"/>
    </row>
  </sheetData>
  <hyperlinks>
    <hyperlink ref="S21" r:id="rId1" xr:uid="{155DAB3D-C7B6-4D36-AC1F-62B6A9BEF3AD}"/>
  </hyperlinks>
  <pageMargins left="0.7" right="0.7" top="0.75" bottom="0.75" header="0.3" footer="0.3"/>
  <pageSetup paperSize="9" orientation="portrait" verticalDpi="0"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abSelected="1"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2025-11-02T03:05:05Z</dcterms:modified>
</cp:coreProperties>
</file>